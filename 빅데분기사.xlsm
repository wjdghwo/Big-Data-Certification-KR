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SUS VivoBook\Desktop\"/>
    </mc:Choice>
  </mc:AlternateContent>
  <xr:revisionPtr revIDLastSave="0" documentId="13_ncr:1_{C824721B-857A-4D80-BF69-A586C9BB24BD}" xr6:coauthVersionLast="47" xr6:coauthVersionMax="47" xr10:uidLastSave="{00000000-0000-0000-0000-000000000000}"/>
  <bookViews>
    <workbookView xWindow="-108" yWindow="-108" windowWidth="23256" windowHeight="12576" activeTab="4" xr2:uid="{5453AC34-64EA-4667-8FC6-999AA41F7EEC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Sheet4!$A$1:$E$268</definedName>
    <definedName name="_xlnm._FilterDatabase" localSheetId="4" hidden="1">Sheet5!$A$1:$D$1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2" i="5" l="1"/>
  <c r="C42" i="5"/>
  <c r="C17" i="5"/>
  <c r="C25" i="5"/>
  <c r="C64" i="5"/>
  <c r="C93" i="5"/>
  <c r="C70" i="5"/>
  <c r="C47" i="5"/>
  <c r="C45" i="5"/>
  <c r="C24" i="5"/>
  <c r="C66" i="5"/>
  <c r="C79" i="5"/>
  <c r="C32" i="5"/>
  <c r="C21" i="5"/>
  <c r="C39" i="5"/>
  <c r="C87" i="5"/>
  <c r="C82" i="5"/>
  <c r="C101" i="5"/>
  <c r="C51" i="5"/>
  <c r="C16" i="5"/>
  <c r="C91" i="5"/>
  <c r="C75" i="5"/>
  <c r="C94" i="5"/>
  <c r="C54" i="5"/>
  <c r="C13" i="5"/>
  <c r="C85" i="5"/>
  <c r="C41" i="5"/>
  <c r="C3" i="5"/>
  <c r="C72" i="5"/>
  <c r="C97" i="5"/>
  <c r="C5" i="5"/>
  <c r="C107" i="5"/>
  <c r="C103" i="5"/>
  <c r="C106" i="5"/>
  <c r="C49" i="5"/>
  <c r="C98" i="5"/>
  <c r="C57" i="5"/>
  <c r="C2" i="5"/>
  <c r="C12" i="5"/>
  <c r="C65" i="5"/>
  <c r="C50" i="5"/>
  <c r="C43" i="5"/>
  <c r="C60" i="5"/>
  <c r="C104" i="5"/>
  <c r="C80" i="5"/>
  <c r="C96" i="5"/>
  <c r="C62" i="5"/>
  <c r="C59" i="5"/>
  <c r="C56" i="5"/>
  <c r="C8" i="5"/>
  <c r="C71" i="5"/>
  <c r="C20" i="5"/>
  <c r="C26" i="5"/>
  <c r="C68" i="5"/>
  <c r="C84" i="5"/>
  <c r="C83" i="5"/>
  <c r="C14" i="5"/>
  <c r="C73" i="5"/>
  <c r="C67" i="5"/>
  <c r="C76" i="5"/>
  <c r="C69" i="5"/>
  <c r="C6" i="5"/>
  <c r="C78" i="5"/>
  <c r="C4" i="5"/>
  <c r="C36" i="5"/>
  <c r="C44" i="5"/>
  <c r="C99" i="5"/>
  <c r="C61" i="5"/>
  <c r="C52" i="5"/>
  <c r="C58" i="5"/>
  <c r="C89" i="5"/>
  <c r="C22" i="5"/>
  <c r="C95" i="5"/>
  <c r="C34" i="5"/>
  <c r="C108" i="5"/>
  <c r="C48" i="5"/>
  <c r="C27" i="5"/>
  <c r="C53" i="5"/>
  <c r="C18" i="5"/>
  <c r="C7" i="5"/>
  <c r="C40" i="5"/>
  <c r="C38" i="5"/>
  <c r="C31" i="5"/>
  <c r="C105" i="5"/>
  <c r="C29" i="5"/>
  <c r="C11" i="5"/>
  <c r="C9" i="5"/>
  <c r="C10" i="5"/>
  <c r="C28" i="5"/>
  <c r="C23" i="5"/>
  <c r="C55" i="5"/>
  <c r="C15" i="5"/>
  <c r="C86" i="5"/>
  <c r="C35" i="5"/>
  <c r="C63" i="5"/>
  <c r="C88" i="5"/>
  <c r="C74" i="5"/>
  <c r="C77" i="5"/>
  <c r="C19" i="5"/>
  <c r="C33" i="5"/>
  <c r="C37" i="5"/>
  <c r="C100" i="5"/>
  <c r="C90" i="5"/>
  <c r="C102" i="5"/>
  <c r="C81" i="5"/>
  <c r="C46" i="5"/>
  <c r="C30" i="5"/>
  <c r="C6" i="4"/>
  <c r="E135" i="4"/>
  <c r="E42" i="4"/>
  <c r="E7" i="4"/>
  <c r="E3" i="4"/>
  <c r="E105" i="4"/>
  <c r="E40" i="4"/>
  <c r="E227" i="4"/>
  <c r="E222" i="4"/>
  <c r="E255" i="4"/>
  <c r="E179" i="4"/>
  <c r="E212" i="4"/>
  <c r="E137" i="4"/>
  <c r="E177" i="4"/>
  <c r="E166" i="4"/>
  <c r="E258" i="4"/>
  <c r="E68" i="4"/>
  <c r="E12" i="4"/>
  <c r="E34" i="4"/>
  <c r="E96" i="4"/>
  <c r="E183" i="4"/>
  <c r="E44" i="4"/>
  <c r="E218" i="4"/>
  <c r="E232" i="4"/>
  <c r="E131" i="4"/>
  <c r="E71" i="4"/>
  <c r="E226" i="4"/>
  <c r="E198" i="4"/>
  <c r="E205" i="4"/>
  <c r="E19" i="4"/>
  <c r="E239" i="4"/>
  <c r="E157" i="4"/>
  <c r="E74" i="4"/>
  <c r="E39" i="4"/>
  <c r="E134" i="4"/>
  <c r="E214" i="4"/>
  <c r="E22" i="4"/>
  <c r="E259" i="4"/>
  <c r="E35" i="4"/>
  <c r="E113" i="4"/>
  <c r="E73" i="4"/>
  <c r="E56" i="4"/>
  <c r="E81" i="4"/>
  <c r="E27" i="4"/>
  <c r="E64" i="4"/>
  <c r="E193" i="4"/>
  <c r="E24" i="4"/>
  <c r="E164" i="4"/>
  <c r="E8" i="4"/>
  <c r="E240" i="4"/>
  <c r="E237" i="4"/>
  <c r="E220" i="4"/>
  <c r="E203" i="4"/>
  <c r="E102" i="4"/>
  <c r="E146" i="4"/>
  <c r="E112" i="4"/>
  <c r="E122" i="4"/>
  <c r="E202" i="4"/>
  <c r="E127" i="4"/>
  <c r="E236" i="4"/>
  <c r="E167" i="4"/>
  <c r="E181" i="4"/>
  <c r="E221" i="4"/>
  <c r="E45" i="4"/>
  <c r="E171" i="4"/>
  <c r="E162" i="4"/>
  <c r="E70" i="4"/>
  <c r="E47" i="4"/>
  <c r="E211" i="4"/>
  <c r="E147" i="4"/>
  <c r="E207" i="4"/>
  <c r="E62" i="4"/>
  <c r="E83" i="4"/>
  <c r="E118" i="4"/>
  <c r="E58" i="4"/>
  <c r="E229" i="4"/>
  <c r="E49" i="4"/>
  <c r="E143" i="4"/>
  <c r="E36" i="4"/>
  <c r="E53" i="4"/>
  <c r="E153" i="4"/>
  <c r="E85" i="4"/>
  <c r="E161" i="4"/>
  <c r="E94" i="4"/>
  <c r="E136" i="4"/>
  <c r="E185" i="4"/>
  <c r="E184" i="4"/>
  <c r="E33" i="4"/>
  <c r="E130" i="4"/>
  <c r="E69" i="4"/>
  <c r="E189" i="4"/>
  <c r="E230" i="4"/>
  <c r="E247" i="4"/>
  <c r="E61" i="4"/>
  <c r="E48" i="4"/>
  <c r="E180" i="4"/>
  <c r="E31" i="4"/>
  <c r="E251" i="4"/>
  <c r="E174" i="4"/>
  <c r="E20" i="4"/>
  <c r="E80" i="4"/>
  <c r="E116" i="4"/>
  <c r="E60" i="4"/>
  <c r="E92" i="4"/>
  <c r="E75" i="4"/>
  <c r="E163" i="4"/>
  <c r="E217" i="4"/>
  <c r="E82" i="4"/>
  <c r="E190" i="4"/>
  <c r="E265" i="4"/>
  <c r="E155" i="4"/>
  <c r="E266" i="4"/>
  <c r="E224" i="4"/>
  <c r="E148" i="4"/>
  <c r="E209" i="4"/>
  <c r="E86" i="4"/>
  <c r="E260" i="4"/>
  <c r="E206" i="4"/>
  <c r="E72" i="4"/>
  <c r="E182" i="4"/>
  <c r="E234" i="4"/>
  <c r="E110" i="4"/>
  <c r="E4" i="4"/>
  <c r="E132" i="4"/>
  <c r="E114" i="4"/>
  <c r="E133" i="4"/>
  <c r="E152" i="4"/>
  <c r="E215" i="4"/>
  <c r="E6" i="4"/>
  <c r="E120" i="4"/>
  <c r="E100" i="4"/>
  <c r="E2" i="4"/>
  <c r="E149" i="4"/>
  <c r="E106" i="4"/>
  <c r="E200" i="4"/>
  <c r="E243" i="4"/>
  <c r="E77" i="4"/>
  <c r="E144" i="4"/>
  <c r="E262" i="4"/>
  <c r="E246" i="4"/>
  <c r="E145" i="4"/>
  <c r="E252" i="4"/>
  <c r="E151" i="4"/>
  <c r="E150" i="4"/>
  <c r="E175" i="4"/>
  <c r="E191" i="4"/>
  <c r="E263" i="4"/>
  <c r="E223" i="4"/>
  <c r="E169" i="4"/>
  <c r="E99" i="4"/>
  <c r="E18" i="4"/>
  <c r="E233" i="4"/>
  <c r="E121" i="4"/>
  <c r="E91" i="4"/>
  <c r="E241" i="4"/>
  <c r="E250" i="4"/>
  <c r="E261" i="4"/>
  <c r="E66" i="4"/>
  <c r="E87" i="4"/>
  <c r="E32" i="4"/>
  <c r="E76" i="4"/>
  <c r="E13" i="4"/>
  <c r="E25" i="4"/>
  <c r="E93" i="4"/>
  <c r="E188" i="4"/>
  <c r="E256" i="4"/>
  <c r="E57" i="4"/>
  <c r="E257" i="4"/>
  <c r="E213" i="4"/>
  <c r="E9" i="4"/>
  <c r="E168" i="4"/>
  <c r="E128" i="4"/>
  <c r="E111" i="4"/>
  <c r="E197" i="4"/>
  <c r="E29" i="4"/>
  <c r="E123" i="4"/>
  <c r="E79" i="4"/>
  <c r="E192" i="4"/>
  <c r="E104" i="4"/>
  <c r="E195" i="4"/>
  <c r="E43" i="4"/>
  <c r="E172" i="4"/>
  <c r="E267" i="4"/>
  <c r="E253" i="4"/>
  <c r="E97" i="4"/>
  <c r="E37" i="4"/>
  <c r="E107" i="4"/>
  <c r="E139" i="4"/>
  <c r="E176" i="4"/>
  <c r="E109" i="4"/>
  <c r="E67" i="4"/>
  <c r="E59" i="4"/>
  <c r="E95" i="4"/>
  <c r="E225" i="4"/>
  <c r="E219" i="4"/>
  <c r="E15" i="4"/>
  <c r="E84" i="4"/>
  <c r="E23" i="4"/>
  <c r="E108" i="4"/>
  <c r="E254" i="4"/>
  <c r="E30" i="4"/>
  <c r="E117" i="4"/>
  <c r="E173" i="4"/>
  <c r="E65" i="4"/>
  <c r="E138" i="4"/>
  <c r="E129" i="4"/>
  <c r="E54" i="4"/>
  <c r="E158" i="4"/>
  <c r="E14" i="4"/>
  <c r="E242" i="4"/>
  <c r="E11" i="4"/>
  <c r="E159" i="4"/>
  <c r="E41" i="4"/>
  <c r="E88" i="4"/>
  <c r="E55" i="4"/>
  <c r="E125" i="4"/>
  <c r="E98" i="4"/>
  <c r="E156" i="4"/>
  <c r="E235" i="4"/>
  <c r="E26" i="4"/>
  <c r="E154" i="4"/>
  <c r="E51" i="4"/>
  <c r="E50" i="4"/>
  <c r="E28" i="4"/>
  <c r="E245" i="4"/>
  <c r="E238" i="4"/>
  <c r="E115" i="4"/>
  <c r="E199" i="4"/>
  <c r="E52" i="4"/>
  <c r="E126" i="4"/>
  <c r="E5" i="4"/>
  <c r="E170" i="4"/>
  <c r="E196" i="4"/>
  <c r="E63" i="4"/>
  <c r="E248" i="4"/>
  <c r="E10" i="4"/>
  <c r="E264" i="4"/>
  <c r="E90" i="4"/>
  <c r="E140" i="4"/>
  <c r="E208" i="4"/>
  <c r="E187" i="4"/>
  <c r="E38" i="4"/>
  <c r="E204" i="4"/>
  <c r="E103" i="4"/>
  <c r="E124" i="4"/>
  <c r="E244" i="4"/>
  <c r="E186" i="4"/>
  <c r="E231" i="4"/>
  <c r="E194" i="4"/>
  <c r="E142" i="4"/>
  <c r="E46" i="4"/>
  <c r="E228" i="4"/>
  <c r="E165" i="4"/>
  <c r="E141" i="4"/>
  <c r="E16" i="4"/>
  <c r="E17" i="4"/>
  <c r="E210" i="4"/>
  <c r="E21" i="4"/>
  <c r="E160" i="4"/>
  <c r="E216" i="4"/>
  <c r="E201" i="4"/>
  <c r="E101" i="4"/>
  <c r="E89" i="4"/>
  <c r="E178" i="4"/>
  <c r="E119" i="4"/>
  <c r="E249" i="4"/>
  <c r="E78" i="4"/>
  <c r="E268" i="4"/>
  <c r="C78" i="4"/>
  <c r="C249" i="4"/>
  <c r="C119" i="4"/>
  <c r="C178" i="4"/>
  <c r="C89" i="4"/>
  <c r="C101" i="4"/>
  <c r="C201" i="4"/>
  <c r="C216" i="4"/>
  <c r="C160" i="4"/>
  <c r="C21" i="4"/>
  <c r="C210" i="4"/>
  <c r="C17" i="4"/>
  <c r="C16" i="4"/>
  <c r="C141" i="4"/>
  <c r="C165" i="4"/>
  <c r="C228" i="4"/>
  <c r="C46" i="4"/>
  <c r="C142" i="4"/>
  <c r="C194" i="4"/>
  <c r="C231" i="4"/>
  <c r="C186" i="4"/>
  <c r="C244" i="4"/>
  <c r="C124" i="4"/>
  <c r="C103" i="4"/>
  <c r="C204" i="4"/>
  <c r="C38" i="4"/>
  <c r="C187" i="4"/>
  <c r="C208" i="4"/>
  <c r="C140" i="4"/>
  <c r="C90" i="4"/>
  <c r="C264" i="4"/>
  <c r="C10" i="4"/>
  <c r="C248" i="4"/>
  <c r="C63" i="4"/>
  <c r="C196" i="4"/>
  <c r="C170" i="4"/>
  <c r="C5" i="4"/>
  <c r="C126" i="4"/>
  <c r="C52" i="4"/>
  <c r="C199" i="4"/>
  <c r="C115" i="4"/>
  <c r="C238" i="4"/>
  <c r="C245" i="4"/>
  <c r="C28" i="4"/>
  <c r="C50" i="4"/>
  <c r="C51" i="4"/>
  <c r="C154" i="4"/>
  <c r="C26" i="4"/>
  <c r="C235" i="4"/>
  <c r="C156" i="4"/>
  <c r="C98" i="4"/>
  <c r="C125" i="4"/>
  <c r="C55" i="4"/>
  <c r="C88" i="4"/>
  <c r="C41" i="4"/>
  <c r="C159" i="4"/>
  <c r="C11" i="4"/>
  <c r="C242" i="4"/>
  <c r="C14" i="4"/>
  <c r="C158" i="4"/>
  <c r="C54" i="4"/>
  <c r="C129" i="4"/>
  <c r="C138" i="4"/>
  <c r="C65" i="4"/>
  <c r="C173" i="4"/>
  <c r="C117" i="4"/>
  <c r="C30" i="4"/>
  <c r="C254" i="4"/>
  <c r="C108" i="4"/>
  <c r="C23" i="4"/>
  <c r="C84" i="4"/>
  <c r="C15" i="4"/>
  <c r="C219" i="4"/>
  <c r="C225" i="4"/>
  <c r="C95" i="4"/>
  <c r="C135" i="4"/>
  <c r="C59" i="4"/>
  <c r="C67" i="4"/>
  <c r="C109" i="4"/>
  <c r="C176" i="4"/>
  <c r="C139" i="4"/>
  <c r="C107" i="4"/>
  <c r="C37" i="4"/>
  <c r="C97" i="4"/>
  <c r="C253" i="4"/>
  <c r="C267" i="4"/>
  <c r="C172" i="4"/>
  <c r="C43" i="4"/>
  <c r="C195" i="4"/>
  <c r="C104" i="4"/>
  <c r="C192" i="4"/>
  <c r="C79" i="4"/>
  <c r="C123" i="4"/>
  <c r="C29" i="4"/>
  <c r="C197" i="4"/>
  <c r="C111" i="4"/>
  <c r="C128" i="4"/>
  <c r="C168" i="4"/>
  <c r="C9" i="4"/>
  <c r="C213" i="4"/>
  <c r="C257" i="4"/>
  <c r="C57" i="4"/>
  <c r="C256" i="4"/>
  <c r="C188" i="4"/>
  <c r="C93" i="4"/>
  <c r="C25" i="4"/>
  <c r="C13" i="4"/>
  <c r="C76" i="4"/>
  <c r="C32" i="4"/>
  <c r="C87" i="4"/>
  <c r="C66" i="4"/>
  <c r="C261" i="4"/>
  <c r="C250" i="4"/>
  <c r="C241" i="4"/>
  <c r="C91" i="4"/>
  <c r="C121" i="4"/>
  <c r="C233" i="4"/>
  <c r="C18" i="4"/>
  <c r="C99" i="4"/>
  <c r="C169" i="4"/>
  <c r="C223" i="4"/>
  <c r="C263" i="4"/>
  <c r="C191" i="4"/>
  <c r="C175" i="4"/>
  <c r="C150" i="4"/>
  <c r="C151" i="4"/>
  <c r="C252" i="4"/>
  <c r="C145" i="4"/>
  <c r="C246" i="4"/>
  <c r="C262" i="4"/>
  <c r="C144" i="4"/>
  <c r="C77" i="4"/>
  <c r="C243" i="4"/>
  <c r="C200" i="4"/>
  <c r="C106" i="4"/>
  <c r="C149" i="4"/>
  <c r="C2" i="4"/>
  <c r="C100" i="4"/>
  <c r="C120" i="4"/>
  <c r="C215" i="4"/>
  <c r="C152" i="4"/>
  <c r="C133" i="4"/>
  <c r="C114" i="4"/>
  <c r="C132" i="4"/>
  <c r="C4" i="4"/>
  <c r="C110" i="4"/>
  <c r="C234" i="4"/>
  <c r="C182" i="4"/>
  <c r="C72" i="4"/>
  <c r="C206" i="4"/>
  <c r="C260" i="4"/>
  <c r="C86" i="4"/>
  <c r="C209" i="4"/>
  <c r="C148" i="4"/>
  <c r="C224" i="4"/>
  <c r="C266" i="4"/>
  <c r="C155" i="4"/>
  <c r="C265" i="4"/>
  <c r="C190" i="4"/>
  <c r="C82" i="4"/>
  <c r="C217" i="4"/>
  <c r="C163" i="4"/>
  <c r="C75" i="4"/>
  <c r="C92" i="4"/>
  <c r="C60" i="4"/>
  <c r="C116" i="4"/>
  <c r="C80" i="4"/>
  <c r="C20" i="4"/>
  <c r="C174" i="4"/>
  <c r="C251" i="4"/>
  <c r="C31" i="4"/>
  <c r="C180" i="4"/>
  <c r="C48" i="4"/>
  <c r="C61" i="4"/>
  <c r="C247" i="4"/>
  <c r="C230" i="4"/>
  <c r="C189" i="4"/>
  <c r="C69" i="4"/>
  <c r="C130" i="4"/>
  <c r="C33" i="4"/>
  <c r="C184" i="4"/>
  <c r="C185" i="4"/>
  <c r="C136" i="4"/>
  <c r="C94" i="4"/>
  <c r="C161" i="4"/>
  <c r="C85" i="4"/>
  <c r="C153" i="4"/>
  <c r="C53" i="4"/>
  <c r="C36" i="4"/>
  <c r="C143" i="4"/>
  <c r="C49" i="4"/>
  <c r="C229" i="4"/>
  <c r="C58" i="4"/>
  <c r="C118" i="4"/>
  <c r="C83" i="4"/>
  <c r="C62" i="4"/>
  <c r="C207" i="4"/>
  <c r="C147" i="4"/>
  <c r="C211" i="4"/>
  <c r="C47" i="4"/>
  <c r="C70" i="4"/>
  <c r="C162" i="4"/>
  <c r="C171" i="4"/>
  <c r="C45" i="4"/>
  <c r="C221" i="4"/>
  <c r="C181" i="4"/>
  <c r="C167" i="4"/>
  <c r="C236" i="4"/>
  <c r="C127" i="4"/>
  <c r="C202" i="4"/>
  <c r="C122" i="4"/>
  <c r="C112" i="4"/>
  <c r="C146" i="4"/>
  <c r="C102" i="4"/>
  <c r="C203" i="4"/>
  <c r="C220" i="4"/>
  <c r="C237" i="4"/>
  <c r="C240" i="4"/>
  <c r="C8" i="4"/>
  <c r="C164" i="4"/>
  <c r="C24" i="4"/>
  <c r="C193" i="4"/>
  <c r="C64" i="4"/>
  <c r="C27" i="4"/>
  <c r="C81" i="4"/>
  <c r="C56" i="4"/>
  <c r="C73" i="4"/>
  <c r="C113" i="4"/>
  <c r="C35" i="4"/>
  <c r="C259" i="4"/>
  <c r="C22" i="4"/>
  <c r="C214" i="4"/>
  <c r="C134" i="4"/>
  <c r="C39" i="4"/>
  <c r="C74" i="4"/>
  <c r="C157" i="4"/>
  <c r="C239" i="4"/>
  <c r="C19" i="4"/>
  <c r="C205" i="4"/>
  <c r="C198" i="4"/>
  <c r="C226" i="4"/>
  <c r="C71" i="4"/>
  <c r="C131" i="4"/>
  <c r="C232" i="4"/>
  <c r="C218" i="4"/>
  <c r="C44" i="4"/>
  <c r="C183" i="4"/>
  <c r="C96" i="4"/>
  <c r="C34" i="4"/>
  <c r="C12" i="4"/>
  <c r="C68" i="4"/>
  <c r="C258" i="4"/>
  <c r="C166" i="4"/>
  <c r="C177" i="4"/>
  <c r="C137" i="4"/>
  <c r="C212" i="4"/>
  <c r="C179" i="4"/>
  <c r="C255" i="4"/>
  <c r="C222" i="4"/>
  <c r="C227" i="4"/>
  <c r="C40" i="4"/>
  <c r="C105" i="4"/>
  <c r="C3" i="4"/>
  <c r="C7" i="4"/>
  <c r="C42" i="4"/>
  <c r="C268" i="4"/>
  <c r="C12" i="3"/>
  <c r="D12" i="3" s="1"/>
  <c r="C13" i="3"/>
  <c r="C14" i="3"/>
  <c r="C15" i="3"/>
  <c r="C16" i="3"/>
  <c r="C17" i="3"/>
  <c r="C18" i="3"/>
  <c r="C19" i="3"/>
  <c r="C20" i="3"/>
  <c r="C21" i="3"/>
  <c r="A10" i="2" a="1"/>
  <c r="A4" i="2" a="1"/>
  <c r="A5" i="2" a="1"/>
  <c r="A2" i="2" a="1"/>
  <c r="A9" i="2" a="1"/>
  <c r="A6" i="2" a="1"/>
  <c r="A1" i="2" a="1"/>
  <c r="A7" i="2" a="1"/>
  <c r="A3" i="2" a="1"/>
  <c r="A8" i="2" a="1"/>
  <c r="A9" i="2" l="1"/>
  <c r="A5" i="2"/>
  <c r="A4" i="2"/>
  <c r="A10" i="2"/>
  <c r="A8" i="2"/>
  <c r="A3" i="2"/>
  <c r="A7" i="2"/>
  <c r="A6" i="2"/>
  <c r="A2" i="2"/>
  <c r="A1" i="2"/>
  <c r="D18" i="3"/>
  <c r="D14" i="3"/>
  <c r="D16" i="3"/>
  <c r="D13" i="3"/>
  <c r="D19" i="3"/>
  <c r="D20" i="3"/>
  <c r="D21" i="3"/>
  <c r="D15" i="3"/>
  <c r="D1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<sst xmlns="http://schemas.openxmlformats.org/spreadsheetml/2006/main" count="1686" uniqueCount="1018">
  <si>
    <t>정답</t>
  </si>
  <si>
    <t>빅데이터</t>
  </si>
  <si>
    <t>데이터</t>
  </si>
  <si>
    <t>정보</t>
  </si>
  <si>
    <t>지식</t>
  </si>
  <si>
    <t xml:space="preserve">지식의 축적과 아이디어가 결합된 창의적 산물 </t>
  </si>
  <si>
    <t>지혜</t>
  </si>
  <si>
    <t xml:space="preserve">새로운 사건이 속할 범주를 찾아내는 일 </t>
  </si>
  <si>
    <t>유형 분석</t>
  </si>
  <si>
    <t>유전 알고리즘</t>
  </si>
  <si>
    <t>여러 비선형 변환기법의 조합을 통해 높은 수준의 추상화를 시도하는 기계 학습의 한 분야</t>
  </si>
  <si>
    <t xml:space="preserve">특정 주제에 대해 말하거나 글을 쓴 사람의 감정을 분석 </t>
  </si>
  <si>
    <t>데이터베이스를 관리하며 응용 프로그램들이 데이터베이스를 공유하며 사용할 수 있는 환경을 제공하는 소프트웨어</t>
  </si>
  <si>
    <t>고객과의 관계를 지속적으로 강화하기 위한 정보시스템</t>
  </si>
  <si>
    <t>기업이 시간과 비용을 최적화 시키기 위해 외부 공급업체와 연계하여 통합한 정보시스템</t>
  </si>
  <si>
    <t>기업의 목표를 달성하기 위한 성과지표</t>
  </si>
  <si>
    <t>데이터의 원래 소유자인 개인이 데이터에 대한 권리를 소유하고 행사할 수 있어야한다는 개념</t>
  </si>
  <si>
    <t>딥 러닝</t>
  </si>
  <si>
    <t>회귀분석</t>
  </si>
  <si>
    <t>감정분석</t>
  </si>
  <si>
    <t>소셜 네트워크 분석</t>
  </si>
  <si>
    <t>데이터베이스</t>
  </si>
  <si>
    <t>CRM(Customer Relationship Management)</t>
  </si>
  <si>
    <t>SCM (Supply Chain Management)</t>
  </si>
  <si>
    <t>마이 데이터</t>
  </si>
  <si>
    <t>하드 스킬</t>
  </si>
  <si>
    <t>소프트 스킬</t>
  </si>
  <si>
    <t>데이터 거버넌스</t>
  </si>
  <si>
    <t>지도 학습</t>
  </si>
  <si>
    <t>비지도 학습</t>
    <phoneticPr fontId="1" type="noConversion"/>
  </si>
  <si>
    <t>웹을 운영하는 주체가 누구나 사용할 수 있게 공개한 데이터를 개발자나 사용자가 수집해 사용하는 기술을 의미</t>
  </si>
  <si>
    <t>정형 데이터</t>
  </si>
  <si>
    <t>반정형 데이터</t>
  </si>
  <si>
    <t xml:space="preserve">정해진 구조가 없고 고정된 필드에 저장되어 있지 않은 데이터 </t>
  </si>
  <si>
    <t>비정형 데이터</t>
  </si>
  <si>
    <t>데이터에 개인을 식별할 수 있는 정보가 있는 경우 일부 또는 전체를 삭제하거나 일부를 대체 처리함으로써 개인을 식별할 수 없게 하는 것</t>
  </si>
  <si>
    <t>데이터 비식별화</t>
  </si>
  <si>
    <t>여러 변수의 변량을 서로 상관성이 높은 변수들의 선형 조합으로 만든 새로운 변수로 요약 및 축소하는 기법</t>
  </si>
  <si>
    <t>PCA(Principal Components Analysis)</t>
  </si>
  <si>
    <t xml:space="preserve">전체 데이터 중 분석에 필요한 데이터만 선택적으로 이용하는 것 </t>
  </si>
  <si>
    <t>샘플링</t>
  </si>
  <si>
    <t>RDBMS</t>
  </si>
  <si>
    <t>NoSQL</t>
  </si>
  <si>
    <t>데이터 원천으로부터 데이터를 추출 및 변환하여 데이터 웨어하우스 등에 데이터를 적재하는 작업</t>
  </si>
  <si>
    <t xml:space="preserve">동일한 데이터셋에서 일반적인 데이터 값의 범위를 벗어난 값 </t>
  </si>
  <si>
    <t>이상값</t>
  </si>
  <si>
    <t>전진 선택법</t>
  </si>
  <si>
    <t>후진 제거법</t>
  </si>
  <si>
    <t>다중공선성</t>
  </si>
  <si>
    <t>단계적 방법</t>
  </si>
  <si>
    <t>차원의 저주</t>
  </si>
  <si>
    <t>고차원에 존재하는 데이터 간의 거리를 최대한 보존하면서 데이터 간의 관계를 저차원으로 축소해 시각화하는 방법</t>
  </si>
  <si>
    <t xml:space="preserve">기존 변수들을 조합하여 새롭게 만들어진 변수 </t>
  </si>
  <si>
    <t>데이터를 이해하고 의미 있는 관계를 찾아내기 위해 데이터의 통곗값과 분포 등을 시각화하고 분석하는 것</t>
  </si>
  <si>
    <t xml:space="preserve">데이터의 최댓값에서 최솟값을 뺀 것으로 순서 통계량의 산포를 의미 </t>
  </si>
  <si>
    <t>범위</t>
  </si>
  <si>
    <t xml:space="preserve">데이터 분포의 비대칭성을 나타내는 지표 </t>
  </si>
  <si>
    <t>왜도</t>
  </si>
  <si>
    <t xml:space="preserve">데이터가 분포의 중심에 어느 정도 몰려 있는가를 측정할 때 사용하는 척도 </t>
  </si>
  <si>
    <t>첨도</t>
  </si>
  <si>
    <t>텍스트 마이닝</t>
  </si>
  <si>
    <t xml:space="preserve">자연어 분석 작업의 대상이 되는 대량의 텍스트 문서들을 모아놓은 집합 </t>
  </si>
  <si>
    <t xml:space="preserve">구조화되어 있지 않은 문서를 단어로 나누는 과정 </t>
  </si>
  <si>
    <t>토큰화</t>
  </si>
  <si>
    <t xml:space="preserve">관심을 갖고 있는 모집단의 특성을 나타내는 대푯값 </t>
  </si>
  <si>
    <t>모수</t>
  </si>
  <si>
    <t>통계량</t>
  </si>
  <si>
    <t>층화 표본 추출</t>
  </si>
  <si>
    <t>모집단의 분포를 모르더라도 표본의 크기가 충분히 크면 표본 평균들의 분포가 정규분포에 근사하는 것</t>
  </si>
  <si>
    <t>중심극한정리</t>
  </si>
  <si>
    <t>불편추정량</t>
  </si>
  <si>
    <t>귀무가설</t>
  </si>
  <si>
    <t>대립가설</t>
  </si>
  <si>
    <t>검정통계량</t>
  </si>
  <si>
    <t xml:space="preserve">통계적인 가설검정에서 사용되는 기준값으로 α로 표시 </t>
  </si>
  <si>
    <t>유의수준</t>
  </si>
  <si>
    <t xml:space="preserve">귀무가설이 참일 때 귀무가설을 기각하는 오류 </t>
  </si>
  <si>
    <t xml:space="preserve">귀무가설이 거짓일 때 귀무가설을 채택하는 오류 </t>
  </si>
  <si>
    <t xml:space="preserve">대립가설이 참일 때 귀무가설을 기각하고 대립가설을 채택할 확률 </t>
  </si>
  <si>
    <t>검정력</t>
  </si>
  <si>
    <t>기술 통계</t>
  </si>
  <si>
    <t xml:space="preserve">수집한 데이터를 바탕으로 모수에 대하여 추론 또는 예측하는 통계 기법 </t>
  </si>
  <si>
    <t>대규모로 저장된 데이터 속에서 분석을 통해 유의미한 패턴과 규칙을 찾아내는 과정</t>
  </si>
  <si>
    <t>데이터 마이닝</t>
  </si>
  <si>
    <t xml:space="preserve">모델이 너무 단순해서 학습 데이터조차 제대로 예측하지 못하는 경우 </t>
  </si>
  <si>
    <t>과소적합</t>
  </si>
  <si>
    <t>부트스트랩</t>
  </si>
  <si>
    <t>결정계수</t>
  </si>
  <si>
    <t>활성화 함수</t>
  </si>
  <si>
    <t>이진 분류에서 모형이 예측한 값과 실제 값의 조합을 교차표 형태로 정리한 행렬</t>
  </si>
  <si>
    <t>혼동행렬</t>
  </si>
  <si>
    <t xml:space="preserve">전체 데이터에서 올바르게 분류한 데이터의 비율 </t>
  </si>
  <si>
    <t>정확도</t>
  </si>
  <si>
    <t>정밀도</t>
  </si>
  <si>
    <t>거짓 긍정률</t>
  </si>
  <si>
    <t>홀드아웃</t>
  </si>
  <si>
    <t>클라우드 컴퓨팅</t>
  </si>
  <si>
    <t>데이터 사이언스</t>
  </si>
  <si>
    <t>메타데이터</t>
  </si>
  <si>
    <t>프레이밍 효과</t>
  </si>
  <si>
    <t xml:space="preserve">분석용 데이터를 이용한 가설 설정을 통해 통계모델을 만들거나 기계학습을 이용한 모델을 만드는 과정 </t>
  </si>
  <si>
    <t>모델링</t>
  </si>
  <si>
    <t>상향식 접근 방식의 발산단계와 하향식 접근 방식의 수렴단계를 반복하는 과제 발굴 방법</t>
  </si>
  <si>
    <t>ESD(Extreme Studentized Deviation)</t>
  </si>
  <si>
    <t>포아송분포</t>
  </si>
  <si>
    <t>스피어만 상관계수</t>
  </si>
  <si>
    <t>최소제곱법</t>
  </si>
  <si>
    <t>정상성</t>
  </si>
  <si>
    <t>차분</t>
  </si>
  <si>
    <t>정지규칙</t>
  </si>
  <si>
    <t>랜덤 포레스트</t>
  </si>
  <si>
    <t>배깅</t>
  </si>
  <si>
    <t>기울기 소실 문제</t>
  </si>
  <si>
    <t>소프트맥스 함수</t>
  </si>
  <si>
    <t>실루엣 계수</t>
    <phoneticPr fontId="1" type="noConversion"/>
  </si>
  <si>
    <t>코사인 유사도</t>
  </si>
  <si>
    <t>와드연결법</t>
  </si>
  <si>
    <t>향상도</t>
  </si>
  <si>
    <t>지지도</t>
  </si>
  <si>
    <t>하둡</t>
  </si>
  <si>
    <t>데이터상의 주석 작업으로 딥러닝과 같은 학습 알고리즘이 무엇을 학습하여야 하는지 알려 주는 표식 작업</t>
  </si>
  <si>
    <t>개인정보보호법</t>
  </si>
  <si>
    <t>정보통신망의 개발과 보급 등 이용 촉진과 함께 통신망을 통해 활용되고 있는 정보보호에 관해 규정한 법률</t>
  </si>
  <si>
    <t>정보통신망법</t>
  </si>
  <si>
    <t>사생활 침해를 방지하기 위해 데이터에 포함된 개인정보를 삭제하거나 알아볼 수 없는 형태로 변환하는 방법</t>
  </si>
  <si>
    <t>익명화</t>
  </si>
  <si>
    <t>문제가 주어지고 이에 대한 해법을 찾기 위해 각 과정이 체계적으로 단계화되어 수행하는 분석과제 발굴 방식</t>
  </si>
  <si>
    <t>하향식 접근 방식</t>
  </si>
  <si>
    <t>문제 정의 자체가 어려운 경우 데이터를 기반으로 문제의 재정의 및 해결방안을 탐색하고 이를 지속적으로 개선하는 방식</t>
  </si>
  <si>
    <t>상향식 접근 방식</t>
  </si>
  <si>
    <t>개인 식별이 가능한 데이터를 직접적으로 식별할 수 없는 다른 값으로 대체하는 비식별화 방법</t>
  </si>
  <si>
    <t>가명처리</t>
  </si>
  <si>
    <t xml:space="preserve">통계 값을 적용하여 특정 개인을 식별할 수 없도록 하는 비식별화 방법 </t>
  </si>
  <si>
    <t>총계처리</t>
  </si>
  <si>
    <t xml:space="preserve">특정 정보를 해당 그룹의 대푯값 또는 구간값으로 변환하는 비식별화 방법 </t>
  </si>
  <si>
    <t>데이터 범주화</t>
  </si>
  <si>
    <t>데이터 마스킹</t>
  </si>
  <si>
    <t>주어진 각 개체들의 유사성을 분석해서 높은 대상끼리 일반화된 그룹으로 분류하는 기법</t>
  </si>
  <si>
    <t>군집분석</t>
  </si>
  <si>
    <t>앙상블 기법</t>
  </si>
  <si>
    <t>데이터의 분석 결과를 쉽게 이해할 수 있도록 시각적으로 표현하고 전달하는 과정과 기법</t>
  </si>
  <si>
    <t>데이터 시각화</t>
  </si>
  <si>
    <t xml:space="preserve">하나 이상의 변수에 대해서 변수 사이의 차이와 유사성 등을 표현하는 방법 </t>
  </si>
  <si>
    <t>비교 시각화</t>
  </si>
  <si>
    <t xml:space="preserve">장소나 지역에 따른 데이터의 분포를 표현하는 것 </t>
  </si>
  <si>
    <t>공간 시각화</t>
  </si>
  <si>
    <t>고정된 훈련 데이터 세트와 테스트 검증데이터 세트로 평가하여 반복적으로 튜닝할 시 테스트 데이터에 과적합되는 결과가 생기는 것을 방지하는 방법</t>
    <phoneticPr fontId="1" type="noConversion"/>
  </si>
  <si>
    <t>교차검증</t>
    <phoneticPr fontId="1" type="noConversion"/>
  </si>
  <si>
    <t>나선형 모델</t>
  </si>
  <si>
    <t>하이퍼 파라미터</t>
  </si>
  <si>
    <t>데이터베이스 클러스터</t>
  </si>
  <si>
    <t>요인분석</t>
  </si>
  <si>
    <t>분산 파일 시스템</t>
  </si>
  <si>
    <t>크롤링</t>
  </si>
  <si>
    <t>스키마</t>
  </si>
  <si>
    <t>정량적 데이터</t>
  </si>
  <si>
    <t>계통추출방법</t>
  </si>
  <si>
    <t>정상 시계열</t>
  </si>
  <si>
    <t>베이즈 정리와 특징에 대한 조건부 독립을 가설로 하는 알고리즘으로 클래스에 대한 사전 정보와 데이터로부터 추출된 정보를 결합하고 베이즈 정리를 이용하여 어떤 데이터가 특정 클래스에 속하는지를 분류하는 알고리즘</t>
    <phoneticPr fontId="1" type="noConversion"/>
  </si>
  <si>
    <t>나이브 베이즈 분류</t>
    <phoneticPr fontId="1" type="noConversion"/>
  </si>
  <si>
    <t>상관 계수</t>
  </si>
  <si>
    <t>분석 유스 케이스</t>
  </si>
  <si>
    <t>회귀나무</t>
  </si>
  <si>
    <t>플랫폼</t>
  </si>
  <si>
    <t>로짓 변환</t>
  </si>
  <si>
    <t>대용량의 정형 및 비정형 데이터를 저장하고 손쉽게 접근할 수 있게 하는 대규모 저장소</t>
  </si>
  <si>
    <t xml:space="preserve">동질 집합에서 민감정보의 분포와 전체 데이터 집합에서의 민감정보 분포가 유사한 차이를 보이게 만드는 기법 </t>
  </si>
  <si>
    <t>데이터 정제</t>
  </si>
  <si>
    <t>다중 대체법</t>
  </si>
  <si>
    <t>통계적 추정을 할 때 표본자료 중 모집단에 대한 정보를 주는 독립적인 자료의 수</t>
  </si>
  <si>
    <t>자유도</t>
  </si>
  <si>
    <t>분해시계열</t>
  </si>
  <si>
    <t>부스팅</t>
  </si>
  <si>
    <t>과대 적합을 방지하기 위해 인공지능 학습 과정에서 일부 신경망 일부만 동작하고 일부는 동작하지 않도록 하는 방법</t>
  </si>
  <si>
    <t>드롭아웃</t>
  </si>
  <si>
    <t>중요 정보를 하나의 그래픽으로 표현하여 정보를 쉽게 이해할 수 있도록 만드는 시각화 기법</t>
  </si>
  <si>
    <t>인포그래픽</t>
  </si>
  <si>
    <t>다양한 데이터를 통합적으로 분석하여 기업 의사결정권자가 합리적인 의사결정이 가능하도록 지원하는 일련의 활동</t>
  </si>
  <si>
    <t>블록체인</t>
  </si>
  <si>
    <t>전이학습</t>
  </si>
  <si>
    <t>총 평균과 각 집단의 평균 차이에 의해 생긴 집단 간 분산 비율을 나타내는 분포</t>
  </si>
  <si>
    <t>설명</t>
    <phoneticPr fontId="1" type="noConversion"/>
  </si>
  <si>
    <t>데이터를 통해 도출된 다양한 정보를 구조화하여 유의미한 정보를 분류하고 개인적인 경험을 결합해 내재화한 것</t>
    <phoneticPr fontId="1" type="noConversion"/>
  </si>
  <si>
    <t>큰 용량과 복잡성으로 기존 애플리케이션이나 툴로는 다루기 어려운 데이터셋의 집합</t>
    <phoneticPr fontId="1" type="noConversion"/>
  </si>
  <si>
    <t>DBMS(DataBase Management System)</t>
    <phoneticPr fontId="1" type="noConversion"/>
  </si>
  <si>
    <t>데이터 웨어하우스 (Data Warehouse, DW)</t>
    <phoneticPr fontId="1" type="noConversion"/>
  </si>
  <si>
    <r>
      <t xml:space="preserve">추론과 추정의 근거를 이루는 객관적 사실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현실에서 관찰하거나 측정하여 수집한 사실</t>
    </r>
    <phoneticPr fontId="1" type="noConversion"/>
  </si>
  <si>
    <r>
      <t xml:space="preserve">지식을 도출할 때 사용하는 데이터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데이터의 가공 및 데이터 간 관계를 통해 패턴을 인식하는 것</t>
    </r>
  </si>
  <si>
    <r>
      <t xml:space="preserve">빅데이터의 특징인 </t>
    </r>
    <r>
      <rPr>
        <sz val="9.9"/>
        <rFont val="Arial"/>
        <family val="2"/>
      </rPr>
      <t>3V</t>
    </r>
    <r>
      <rPr>
        <sz val="9.9"/>
        <rFont val="맑은 고딕"/>
        <family val="3"/>
        <charset val="129"/>
        <scheme val="minor"/>
      </rPr>
      <t>는</t>
    </r>
    <r>
      <rPr>
        <sz val="9.9"/>
        <rFont val="Arial"/>
        <family val="2"/>
      </rPr>
      <t>?</t>
    </r>
  </si>
  <si>
    <r>
      <t>Volume(</t>
    </r>
    <r>
      <rPr>
        <sz val="9.9"/>
        <rFont val="맑은 고딕"/>
        <family val="3"/>
        <charset val="129"/>
        <scheme val="minor"/>
      </rPr>
      <t>크기</t>
    </r>
    <r>
      <rPr>
        <sz val="9.9"/>
        <rFont val="Arial"/>
        <family val="2"/>
      </rPr>
      <t>), Variety(</t>
    </r>
    <r>
      <rPr>
        <sz val="9.9"/>
        <rFont val="맑은 고딕"/>
        <family val="3"/>
        <charset val="129"/>
        <scheme val="minor"/>
      </rPr>
      <t>다양성</t>
    </r>
    <r>
      <rPr>
        <sz val="9.9"/>
        <rFont val="Arial"/>
        <family val="2"/>
      </rPr>
      <t>), Velocity(</t>
    </r>
    <r>
      <rPr>
        <sz val="9.9"/>
        <rFont val="맑은 고딕"/>
        <family val="3"/>
        <charset val="129"/>
        <scheme val="minor"/>
      </rPr>
      <t>속도</t>
    </r>
    <r>
      <rPr>
        <sz val="9.9"/>
        <rFont val="Arial"/>
        <family val="2"/>
      </rPr>
      <t>)</t>
    </r>
  </si>
  <si>
    <r>
      <t>고객의 대규모 거래데이터로부터 함께 구매가 발생하는 규칙을 도출하여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고객이 특정 상품 구매 시 이와 연관성 높은 상품을 추천하는 분석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어떤 변인 간에 주목할 만한 상관관계가 있는지를 찾아내는 방법</t>
    </r>
  </si>
  <si>
    <r>
      <t>연관규칙 분석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장바구니분석</t>
    </r>
    <r>
      <rPr>
        <sz val="9.9"/>
        <rFont val="Arial"/>
        <family val="2"/>
      </rPr>
      <t>)</t>
    </r>
  </si>
  <si>
    <r>
      <t>최적화가 필요한 문제의 해결책을 자연 선택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돌연변이 등과 같은 매커니즘을 통해 점진적으로 진화시키는 방법 </t>
    </r>
  </si>
  <si>
    <r>
      <t>이것은 인공지능의 한 분야로 간주된다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컴퓨터가 학습할 수 있도록 하는 알고리즘과 기술을 개발하는 분야이다</t>
    </r>
    <r>
      <rPr>
        <sz val="9.9"/>
        <rFont val="Arial"/>
        <family val="2"/>
      </rPr>
      <t xml:space="preserve">. / </t>
    </r>
    <r>
      <rPr>
        <sz val="9.9"/>
        <rFont val="맑은 고딕"/>
        <family val="3"/>
        <charset val="129"/>
        <scheme val="minor"/>
      </rPr>
      <t xml:space="preserve">학습 데이터로 학습한 알려진 특성을 활용해 </t>
    </r>
    <r>
      <rPr>
        <sz val="9.9"/>
        <rFont val="Arial"/>
        <family val="2"/>
      </rPr>
      <t>&amp;</t>
    </r>
    <r>
      <rPr>
        <sz val="9.9"/>
        <rFont val="맑은 고딕"/>
        <family val="3"/>
        <charset val="129"/>
        <scheme val="minor"/>
      </rPr>
      <t>예측</t>
    </r>
    <r>
      <rPr>
        <sz val="9.9"/>
        <rFont val="Arial"/>
        <family val="2"/>
      </rPr>
      <t>&amp;</t>
    </r>
    <r>
      <rPr>
        <sz val="9.9"/>
        <rFont val="맑은 고딕"/>
        <family val="3"/>
        <charset val="129"/>
        <scheme val="minor"/>
      </rPr>
      <t>하는 방법</t>
    </r>
  </si>
  <si>
    <r>
      <t xml:space="preserve">기계 학습 </t>
    </r>
    <r>
      <rPr>
        <sz val="9.9"/>
        <rFont val="Arial"/>
        <family val="2"/>
      </rPr>
      <t>=</t>
    </r>
    <r>
      <rPr>
        <sz val="9.9"/>
        <rFont val="맑은 고딕"/>
        <family val="3"/>
        <charset val="129"/>
        <scheme val="minor"/>
      </rPr>
      <t xml:space="preserve">머신러닝 </t>
    </r>
  </si>
  <si>
    <r>
      <t>관찰된 연속형 변수들에 대해 두 변수 사이의 모형을 구한뒤 적합도를 측정해 내는 분석 방법이다</t>
    </r>
    <r>
      <rPr>
        <sz val="9.9"/>
        <rFont val="Arial"/>
        <family val="2"/>
      </rPr>
      <t xml:space="preserve">. / </t>
    </r>
    <r>
      <rPr>
        <sz val="9.9"/>
        <rFont val="맑은 고딕"/>
        <family val="3"/>
        <charset val="129"/>
        <scheme val="minor"/>
      </rPr>
      <t>독립변수를 조작하면서 종속변수가 어떻게 변하는지를 보며 두 변인의 관계를 파악하는 것</t>
    </r>
  </si>
  <si>
    <r>
      <t>오피니언 리더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즉 영향력 있는 사람을 찾아낼 수 있으며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고객 간 소셜 관계를 파악</t>
    </r>
  </si>
  <si>
    <r>
      <t>여러 사람이 공유하여 사용할 목적으로 체계화해 통합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관리하는 데이터의 집합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데이터를 받아들이고 저장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공급하기 위하여 일정한 구조에 따라서 편성된 데이터의 집합</t>
    </r>
  </si>
  <si>
    <r>
      <t xml:space="preserve">사용자의 의사결정에 도움을 주기 위해 수집된 대량의 비즈니스 데이터베이스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기업의 의사결정 과정을 지원하기 위한 주제 중심적으로 통합적이며 시간성을 가지는 비휘발성 데이터의 집합</t>
    </r>
    <phoneticPr fontId="1" type="noConversion"/>
  </si>
  <si>
    <r>
      <t>재무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제조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소매유통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공급망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인사 관리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운영 전반의 비즈니스 프로세스를 자동화하고 관리하는 시스템</t>
    </r>
  </si>
  <si>
    <r>
      <t xml:space="preserve">ERP(Enterprise Resource Planning, </t>
    </r>
    <r>
      <rPr>
        <sz val="9.9"/>
        <rFont val="맑은 고딕"/>
        <family val="2"/>
        <charset val="129"/>
      </rPr>
      <t>전사적 자원</t>
    </r>
    <r>
      <rPr>
        <sz val="9.9"/>
        <rFont val="Arial"/>
        <family val="2"/>
      </rPr>
      <t xml:space="preserve"> </t>
    </r>
    <r>
      <rPr>
        <sz val="9.9"/>
        <rFont val="맑은 고딕"/>
        <family val="2"/>
        <charset val="129"/>
      </rPr>
      <t>관리</t>
    </r>
    <r>
      <rPr>
        <sz val="9.9"/>
        <rFont val="Arial"/>
        <family val="2"/>
      </rPr>
      <t>)</t>
    </r>
    <phoneticPr fontId="1" type="noConversion"/>
  </si>
  <si>
    <r>
      <t xml:space="preserve">KPI(Key Performance Indicator, </t>
    </r>
    <r>
      <rPr>
        <sz val="9.9"/>
        <rFont val="맑은 고딕"/>
        <family val="2"/>
        <charset val="129"/>
      </rPr>
      <t>핵심</t>
    </r>
    <r>
      <rPr>
        <sz val="9.9"/>
        <rFont val="Arial"/>
        <family val="2"/>
      </rPr>
      <t xml:space="preserve"> </t>
    </r>
    <r>
      <rPr>
        <sz val="9.9"/>
        <rFont val="맑은 고딕"/>
        <family val="2"/>
        <charset val="129"/>
      </rPr>
      <t>성과</t>
    </r>
    <r>
      <rPr>
        <sz val="9.9"/>
        <rFont val="Arial"/>
        <family val="2"/>
      </rPr>
      <t xml:space="preserve"> </t>
    </r>
    <r>
      <rPr>
        <sz val="9.9"/>
        <rFont val="맑은 고딕"/>
        <family val="2"/>
        <charset val="129"/>
      </rPr>
      <t>지표</t>
    </r>
    <r>
      <rPr>
        <sz val="9.9"/>
        <rFont val="Arial"/>
        <family val="2"/>
      </rPr>
      <t>)</t>
    </r>
    <phoneticPr fontId="1" type="noConversion"/>
  </si>
  <si>
    <r>
      <t>직무에 특정한 구체적인 기술이며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실제로 업무를 수행하는 데 필요한 기술 </t>
    </r>
  </si>
  <si>
    <r>
      <t>개인이 보유하고 있는 고유한 속성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성격 특성 및 의사소통 역량 </t>
    </r>
  </si>
  <si>
    <r>
      <t>전사 차원의 모든 데이터에 대해 정책 및 지침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표준화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운영 조직 및 책임 등의 표준화된 관리 체계를 수립하고 운영을 위한 프레임워크 및 저장소를 구축하는 것</t>
    </r>
  </si>
  <si>
    <r>
      <t>2020</t>
    </r>
    <r>
      <rPr>
        <sz val="9.9"/>
        <rFont val="맑은 고딕"/>
        <family val="3"/>
        <charset val="129"/>
        <scheme val="minor"/>
      </rPr>
      <t xml:space="preserve">년 </t>
    </r>
    <r>
      <rPr>
        <sz val="9.9"/>
        <rFont val="Arial"/>
        <family val="2"/>
      </rPr>
      <t>1</t>
    </r>
    <r>
      <rPr>
        <sz val="9.9"/>
        <rFont val="맑은 고딕"/>
        <family val="3"/>
        <charset val="129"/>
        <scheme val="minor"/>
      </rPr>
      <t xml:space="preserve">월에 국회에서 통과된 이른바 데이터 </t>
    </r>
    <r>
      <rPr>
        <sz val="9.9"/>
        <rFont val="Arial"/>
        <family val="2"/>
      </rPr>
      <t>3</t>
    </r>
    <r>
      <rPr>
        <sz val="9.9"/>
        <rFont val="맑은 고딕"/>
        <family val="3"/>
        <charset val="129"/>
        <scheme val="minor"/>
      </rPr>
      <t xml:space="preserve">법이라 불리는 </t>
    </r>
    <r>
      <rPr>
        <sz val="9.9"/>
        <rFont val="Arial"/>
        <family val="2"/>
      </rPr>
      <t>3</t>
    </r>
    <r>
      <rPr>
        <sz val="9.9"/>
        <rFont val="맑은 고딕"/>
        <family val="3"/>
        <charset val="129"/>
        <scheme val="minor"/>
      </rPr>
      <t>가지</t>
    </r>
    <r>
      <rPr>
        <sz val="9.9"/>
        <rFont val="Arial"/>
        <family val="2"/>
      </rPr>
      <t>?</t>
    </r>
  </si>
  <si>
    <r>
      <t>개인정보보호법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정보통신망법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신용정보법</t>
    </r>
  </si>
  <si>
    <r>
      <t>전산시스템을 필요로 하는 곳으로부터 하청을 받아 시스템의 기획 개발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유지보수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운영 등을 대신해주는 업종</t>
    </r>
  </si>
  <si>
    <r>
      <t xml:space="preserve">SI(System Integration, </t>
    </r>
    <r>
      <rPr>
        <sz val="9.9"/>
        <rFont val="맑은 고딕"/>
        <family val="2"/>
        <charset val="129"/>
      </rPr>
      <t>시스템</t>
    </r>
    <r>
      <rPr>
        <sz val="9.9"/>
        <rFont val="Arial"/>
        <family val="2"/>
      </rPr>
      <t xml:space="preserve"> </t>
    </r>
    <r>
      <rPr>
        <sz val="9.9"/>
        <rFont val="맑은 고딕"/>
        <family val="2"/>
        <charset val="129"/>
      </rPr>
      <t>구축</t>
    </r>
    <r>
      <rPr>
        <sz val="9.9"/>
        <rFont val="Arial"/>
        <family val="2"/>
      </rPr>
      <t>)</t>
    </r>
    <phoneticPr fontId="1" type="noConversion"/>
  </si>
  <si>
    <r>
      <t xml:space="preserve">정답이 있는 데이터를 활용하여 분석 모델을 학습시키는 것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레이블이 범주형인 분류와 연속형인 회귀로 나뉜다</t>
    </r>
    <r>
      <rPr>
        <sz val="9.9"/>
        <rFont val="Arial"/>
        <family val="2"/>
      </rPr>
      <t xml:space="preserve">. </t>
    </r>
  </si>
  <si>
    <r>
      <t xml:space="preserve">정답을 알려주지 않고 학습하는 것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정답 레이블이 없는 데이터를 비슷한 특징을 가진 데이터끼리 군집화하여 새로운 데이터에 대한 결과를 예측</t>
    </r>
    <phoneticPr fontId="1" type="noConversion"/>
  </si>
  <si>
    <r>
      <t>고정된 구조로 정해진 필드에 저장된 데이터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엑셀 스프레드시트</t>
    </r>
    <r>
      <rPr>
        <sz val="9.9"/>
        <rFont val="Arial"/>
        <family val="2"/>
      </rPr>
      <t>, RDBMS(</t>
    </r>
    <r>
      <rPr>
        <sz val="9.9"/>
        <rFont val="맑은 고딕"/>
        <family val="3"/>
        <charset val="129"/>
        <scheme val="minor"/>
      </rPr>
      <t>관계형 데이터베이스</t>
    </r>
    <r>
      <rPr>
        <sz val="9.9"/>
        <rFont val="Arial"/>
        <family val="2"/>
      </rPr>
      <t xml:space="preserve">), CSV </t>
    </r>
    <r>
      <rPr>
        <sz val="9.9"/>
        <rFont val="맑은 고딕"/>
        <family val="3"/>
        <charset val="129"/>
        <scheme val="minor"/>
      </rPr>
      <t>파일 형태가 대표적</t>
    </r>
  </si>
  <si>
    <r>
      <t>고정된 필드에 저장되어 있지는 않지만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데이터와 메타데이터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스키마 등을 포함하는 데이터</t>
    </r>
    <r>
      <rPr>
        <sz val="9.9"/>
        <rFont val="Arial"/>
        <family val="2"/>
      </rPr>
      <t xml:space="preserve">(XML, HTML, JSON </t>
    </r>
    <r>
      <rPr>
        <sz val="9.9"/>
        <rFont val="맑은 고딕"/>
        <family val="3"/>
        <charset val="129"/>
        <scheme val="minor"/>
      </rPr>
      <t>등</t>
    </r>
    <r>
      <rPr>
        <sz val="9.9"/>
        <rFont val="Arial"/>
        <family val="2"/>
      </rPr>
      <t xml:space="preserve">). </t>
    </r>
    <r>
      <rPr>
        <sz val="9.9"/>
        <rFont val="맑은 고딕"/>
        <family val="3"/>
        <charset val="129"/>
        <scheme val="minor"/>
      </rPr>
      <t>규칙을 가지고 있어 필요 시 정형 데이터로 변형 가능</t>
    </r>
  </si>
  <si>
    <r>
      <t xml:space="preserve">관계형 데이터베이스를 </t>
    </r>
    <r>
      <rPr>
        <sz val="9.9"/>
        <rFont val="Arial"/>
        <family val="2"/>
      </rPr>
      <t>SQL</t>
    </r>
    <r>
      <rPr>
        <sz val="9.9"/>
        <rFont val="맑은 고딕"/>
        <family val="3"/>
        <charset val="129"/>
        <scheme val="minor"/>
      </rPr>
      <t xml:space="preserve">을 사용해 </t>
    </r>
    <r>
      <rPr>
        <sz val="9.9"/>
        <rFont val="Arial"/>
        <family val="2"/>
      </rPr>
      <t>CRUD(Create, Read, Update, Delete)</t>
    </r>
    <r>
      <rPr>
        <sz val="9.9"/>
        <rFont val="맑은 고딕"/>
        <family val="3"/>
        <charset val="129"/>
        <scheme val="minor"/>
      </rPr>
      <t>를 수행하고 관리할 수 있는 소프트웨어</t>
    </r>
  </si>
  <si>
    <r>
      <t>Not Only SQL</t>
    </r>
    <r>
      <rPr>
        <sz val="9.9"/>
        <rFont val="맑은 고딕"/>
        <family val="3"/>
        <charset val="129"/>
        <scheme val="minor"/>
      </rPr>
      <t xml:space="preserve">의 약자로 </t>
    </r>
    <r>
      <rPr>
        <sz val="9.9"/>
        <rFont val="Arial"/>
        <family val="2"/>
      </rPr>
      <t>SQL</t>
    </r>
    <r>
      <rPr>
        <sz val="9.9"/>
        <rFont val="맑은 고딕"/>
        <family val="3"/>
        <charset val="129"/>
        <scheme val="minor"/>
      </rPr>
      <t xml:space="preserve">을 사용하는 전통적인 관계형 데이터베이스 시스템보다 상대적으로 제한이 덜한 데이터 모델을 기반에 둔 분산 데이터베이스 기술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데이터 저장을 위한 스키마가 필요 없으며 조인 연산을 지원하지 않는다</t>
    </r>
    <r>
      <rPr>
        <sz val="9.9"/>
        <rFont val="Arial"/>
        <family val="2"/>
      </rPr>
      <t xml:space="preserve">. </t>
    </r>
  </si>
  <si>
    <r>
      <t>모든 독립변수 가운데 기준 통계치에 가장 많은 영향을 줄 것으로 판단되는 변수</t>
    </r>
    <r>
      <rPr>
        <sz val="9.9"/>
        <rFont val="Arial"/>
        <family val="2"/>
      </rPr>
      <t>(p</t>
    </r>
    <r>
      <rPr>
        <sz val="9.9"/>
        <rFont val="맑은 고딕"/>
        <family val="3"/>
        <charset val="129"/>
        <scheme val="minor"/>
      </rPr>
      <t>값</t>
    </r>
    <r>
      <rPr>
        <sz val="9.9"/>
        <rFont val="Arial"/>
        <family val="2"/>
      </rPr>
      <t>, AIC</t>
    </r>
    <r>
      <rPr>
        <sz val="9.9"/>
        <rFont val="맑은 고딕"/>
        <family val="3"/>
        <charset val="129"/>
        <scheme val="minor"/>
      </rPr>
      <t>가 낮은 유의한 변수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>부터 하나씩 추가하면서 모형을 선택하는 방법</t>
    </r>
  </si>
  <si>
    <r>
      <t xml:space="preserve">전체 모형에서 가장 적은 영향을 주는 변수부터 하나씩 제거하는 방법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최적방정식을 선택하기 위한 방법 중 모든 독립변수 후보를 포함한 모형에서 시작하여 가장 적은 영향을 주는 변수를 하나씩 제거하면서 더 이상 유의하지 않은 변수가 없을 때까지 설명변수를 제거하는 방법은 무엇인가</t>
    </r>
    <r>
      <rPr>
        <sz val="9.9"/>
        <rFont val="Arial"/>
        <family val="2"/>
      </rPr>
      <t>?</t>
    </r>
  </si>
  <si>
    <r>
      <t>회귀분석에서 사용된 모형의 일부 설명 변수가 다른 설명 변수와 상관 정도가 높아 데이터 분석 시 부정적 영향을 미치는 것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회귀분석의 기본 가정인 독립성에 위배</t>
    </r>
    <r>
      <rPr>
        <sz val="9.9"/>
        <rFont val="Arial"/>
        <family val="2"/>
      </rPr>
      <t xml:space="preserve">) </t>
    </r>
  </si>
  <si>
    <r>
      <t xml:space="preserve">변수를 연속적으로 추가 혹은 제거하면서 </t>
    </r>
    <r>
      <rPr>
        <sz val="9.9"/>
        <rFont val="Arial"/>
        <family val="2"/>
      </rPr>
      <t>AIC</t>
    </r>
    <r>
      <rPr>
        <sz val="9.9"/>
        <rFont val="맑은 고딕"/>
        <family val="3"/>
        <charset val="129"/>
        <scheme val="minor"/>
      </rPr>
      <t xml:space="preserve">가 낮아지는 모델을 찾는 방법 </t>
    </r>
  </si>
  <si>
    <r>
      <t xml:space="preserve">데이터 학습을 위해 차원이 증가하면서 학습데이터 수가 차원의 수보다 적어져 성능이 저하되는 현상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차원이 증가함에 따라</t>
    </r>
    <r>
      <rPr>
        <sz val="9.9"/>
        <rFont val="Arial"/>
        <family val="2"/>
      </rPr>
      <t>(=</t>
    </r>
    <r>
      <rPr>
        <sz val="9.9"/>
        <rFont val="맑은 고딕"/>
        <family val="3"/>
        <charset val="129"/>
        <scheme val="minor"/>
      </rPr>
      <t>변수의 수 증가</t>
    </r>
    <r>
      <rPr>
        <sz val="9.9"/>
        <rFont val="Arial"/>
        <family val="2"/>
      </rPr>
      <t xml:space="preserve">) </t>
    </r>
    <r>
      <rPr>
        <sz val="9.9"/>
        <rFont val="맑은 고딕"/>
        <family val="3"/>
        <charset val="129"/>
        <scheme val="minor"/>
      </rPr>
      <t xml:space="preserve">데이터 사이의 거리가 멀어져 데이터의 밀도가 낮아져서 빈 공간에 </t>
    </r>
    <r>
      <rPr>
        <sz val="9.9"/>
        <rFont val="Arial"/>
        <family val="2"/>
      </rPr>
      <t>0</t>
    </r>
    <r>
      <rPr>
        <sz val="9.9"/>
        <rFont val="맑은 고딕"/>
        <family val="3"/>
        <charset val="129"/>
        <scheme val="minor"/>
      </rPr>
      <t>으로 채워져서 모델의 성능이 하락하는 현상</t>
    </r>
  </si>
  <si>
    <r>
      <t xml:space="preserve">행렬의 크기가 다른 </t>
    </r>
    <r>
      <rPr>
        <sz val="9.9"/>
        <rFont val="Arial"/>
        <family val="2"/>
      </rPr>
      <t xml:space="preserve">M*N </t>
    </r>
    <r>
      <rPr>
        <sz val="9.9"/>
        <rFont val="맑은 고딕"/>
        <family val="3"/>
        <charset val="129"/>
        <scheme val="minor"/>
      </rPr>
      <t xml:space="preserve">행렬에 대해 세 행렬의 곱으로 분해하는 것으로 데이터 압축 등의 많은 분야에서 활용 </t>
    </r>
    <r>
      <rPr>
        <sz val="9.9"/>
        <rFont val="Arial"/>
        <family val="2"/>
      </rPr>
      <t xml:space="preserve">/ M*N </t>
    </r>
    <r>
      <rPr>
        <sz val="9.9"/>
        <rFont val="맑은 고딕"/>
        <family val="3"/>
        <charset val="129"/>
        <scheme val="minor"/>
      </rPr>
      <t>차원의 행렬 데이터에서 특잇값을 추출하고 이를 통해 주어진 데이터 세트를 효과적으로 축약할 수 있는 차원 축소 기법은</t>
    </r>
    <r>
      <rPr>
        <sz val="9.9"/>
        <rFont val="Arial"/>
        <family val="2"/>
      </rPr>
      <t>?</t>
    </r>
  </si>
  <si>
    <r>
      <t xml:space="preserve">EDA(Exploratory Data Analysis, </t>
    </r>
    <r>
      <rPr>
        <sz val="9.9"/>
        <rFont val="맑은 고딕"/>
        <family val="3"/>
        <charset val="129"/>
        <scheme val="minor"/>
      </rPr>
      <t>탐색적 데이터 분석</t>
    </r>
    <r>
      <rPr>
        <sz val="9.9"/>
        <rFont val="Arial"/>
        <family val="2"/>
      </rPr>
      <t>)</t>
    </r>
  </si>
  <si>
    <r>
      <t>다양한 문서 자료 내 비정형 텍스트 데이터에 자연어 처리</t>
    </r>
    <r>
      <rPr>
        <sz val="9.9"/>
        <rFont val="Arial"/>
        <family val="2"/>
      </rPr>
      <t xml:space="preserve">(NLP) </t>
    </r>
    <r>
      <rPr>
        <sz val="9.9"/>
        <rFont val="맑은 고딕"/>
        <family val="3"/>
        <charset val="129"/>
        <scheme val="minor"/>
      </rPr>
      <t xml:space="preserve">기술 및 문서처리 기술을 활용해 인사이트를 도출하는 기술 </t>
    </r>
  </si>
  <si>
    <r>
      <t>말뭉치</t>
    </r>
    <r>
      <rPr>
        <sz val="9.9"/>
        <rFont val="Arial"/>
        <family val="2"/>
      </rPr>
      <t>(corpus)</t>
    </r>
  </si>
  <si>
    <r>
      <t>말뭉치에서 자주 등장하지만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분석에 있어 기여하는 바가 없는 단어 </t>
    </r>
  </si>
  <si>
    <r>
      <t>불용어</t>
    </r>
    <r>
      <rPr>
        <sz val="9.9"/>
        <rFont val="Arial"/>
        <family val="2"/>
      </rPr>
      <t>(stopword)</t>
    </r>
  </si>
  <si>
    <r>
      <t xml:space="preserve">표본을 조사하여 얻은 데이터로 표본의 특징을 수치화한 값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모수를 추정하기 위해 구하는 표본 값들에 대한 용어</t>
    </r>
  </si>
  <si>
    <r>
      <t>모집단을 어떤 특성에 따라 서로 겹치지 않는 여러 개의 층으로 분할한 후 각 층에서 표본을 단순 무작위 추출법에 따라 추출하는 방법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계층 간 이질성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계층 내 동질성</t>
    </r>
    <r>
      <rPr>
        <sz val="9.9"/>
        <rFont val="Arial"/>
        <family val="2"/>
      </rPr>
      <t xml:space="preserve">) </t>
    </r>
    <phoneticPr fontId="1" type="noConversion"/>
  </si>
  <si>
    <r>
      <t>추정량의 기대값이 모수와 같아진다면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이 추정량을 무엇이라고 하는가</t>
    </r>
    <r>
      <rPr>
        <sz val="9.9"/>
        <rFont val="Arial"/>
        <family val="2"/>
      </rPr>
      <t xml:space="preserve">? </t>
    </r>
  </si>
  <si>
    <r>
      <t>실험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연구를 통해 기각하고자 하는 어떤 가설 </t>
    </r>
  </si>
  <si>
    <r>
      <t>실험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연구를 통해 증명하고자 하는 새로운 아이디어 혹은 가설 </t>
    </r>
  </si>
  <si>
    <r>
      <t>귀무가설 분포에서 검정통계량보다 극단적인 값이 관측될 확률값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이 값이 작을수록 검정통계량이 귀무가설의 내용에 적합하지 않음을 나타낸다</t>
    </r>
    <r>
      <rPr>
        <sz val="9.9"/>
        <rFont val="Arial"/>
        <family val="2"/>
      </rPr>
      <t xml:space="preserve">. </t>
    </r>
  </si>
  <si>
    <r>
      <t>유의 확률</t>
    </r>
    <r>
      <rPr>
        <sz val="9.9"/>
        <rFont val="Arial"/>
        <family val="2"/>
      </rPr>
      <t>(P-value)</t>
    </r>
  </si>
  <si>
    <r>
      <t>1</t>
    </r>
    <r>
      <rPr>
        <sz val="9.9"/>
        <rFont val="맑은 고딕"/>
        <family val="3"/>
        <charset val="129"/>
        <scheme val="minor"/>
      </rPr>
      <t>종 오류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알파 오류</t>
    </r>
    <r>
      <rPr>
        <sz val="9.9"/>
        <rFont val="Arial"/>
        <family val="2"/>
      </rPr>
      <t>)</t>
    </r>
  </si>
  <si>
    <r>
      <t>2</t>
    </r>
    <r>
      <rPr>
        <sz val="9.9"/>
        <rFont val="맑은 고딕"/>
        <family val="3"/>
        <charset val="129"/>
        <scheme val="minor"/>
      </rPr>
      <t>종 오류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베타 오류</t>
    </r>
    <r>
      <rPr>
        <sz val="9.9"/>
        <rFont val="Arial"/>
        <family val="2"/>
      </rPr>
      <t>)</t>
    </r>
  </si>
  <si>
    <r>
      <t>가설검정은 귀무가설과 대립가설 중에서 하나의 가설을 양자택일한다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 xml:space="preserve">그래서 </t>
    </r>
    <r>
      <rPr>
        <sz val="9.9"/>
        <rFont val="Arial"/>
        <family val="2"/>
      </rPr>
      <t>1-</t>
    </r>
    <r>
      <rPr>
        <sz val="9.9"/>
        <rFont val="Calibri"/>
        <family val="3"/>
        <charset val="161"/>
      </rPr>
      <t>α</t>
    </r>
    <r>
      <rPr>
        <sz val="9.9"/>
        <rFont val="맑은 고딕"/>
        <family val="3"/>
        <charset val="129"/>
        <scheme val="minor"/>
      </rPr>
      <t>는 귀무가설을 채택시키므로</t>
    </r>
    <r>
      <rPr>
        <sz val="9.9"/>
        <rFont val="Arial"/>
        <family val="2"/>
      </rPr>
      <t>, 1-</t>
    </r>
    <r>
      <rPr>
        <sz val="9.9"/>
        <rFont val="Calibri"/>
        <family val="3"/>
        <charset val="161"/>
      </rPr>
      <t>α</t>
    </r>
    <r>
      <rPr>
        <sz val="9.9"/>
        <rFont val="맑은 고딕"/>
        <family val="3"/>
        <charset val="129"/>
        <scheme val="minor"/>
      </rPr>
      <t xml:space="preserve">의 영역을 </t>
    </r>
    <r>
      <rPr>
        <sz val="9.9"/>
        <rFont val="Arial"/>
        <family val="2"/>
      </rPr>
      <t>&amp;(1)&amp;</t>
    </r>
    <r>
      <rPr>
        <sz val="9.9"/>
        <rFont val="맑은 고딕"/>
        <family val="3"/>
        <charset val="129"/>
        <scheme val="minor"/>
      </rPr>
      <t>이라고 부르고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반대로 </t>
    </r>
    <r>
      <rPr>
        <sz val="9.9"/>
        <rFont val="Calibri"/>
        <family val="3"/>
        <charset val="161"/>
      </rPr>
      <t>α</t>
    </r>
    <r>
      <rPr>
        <sz val="9.9"/>
        <rFont val="맑은 고딕"/>
        <family val="3"/>
        <charset val="129"/>
        <scheme val="minor"/>
      </rPr>
      <t>는 귀무가설을 기각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탈락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>시키므로</t>
    </r>
    <r>
      <rPr>
        <sz val="9.9"/>
        <rFont val="Arial"/>
        <family val="2"/>
      </rPr>
      <t xml:space="preserve">, </t>
    </r>
    <r>
      <rPr>
        <sz val="9.9"/>
        <rFont val="Calibri"/>
        <family val="3"/>
        <charset val="161"/>
      </rPr>
      <t>α</t>
    </r>
    <r>
      <rPr>
        <sz val="9.9"/>
        <rFont val="맑은 고딕"/>
        <family val="3"/>
        <charset val="129"/>
        <scheme val="minor"/>
      </rPr>
      <t xml:space="preserve">의 영역을 </t>
    </r>
    <r>
      <rPr>
        <sz val="9.9"/>
        <rFont val="Arial"/>
        <family val="2"/>
      </rPr>
      <t>&amp;(2)&amp;</t>
    </r>
    <r>
      <rPr>
        <sz val="9.9"/>
        <rFont val="맑은 고딕"/>
        <family val="3"/>
        <charset val="129"/>
        <scheme val="minor"/>
      </rPr>
      <t>이라고 부른다</t>
    </r>
    <r>
      <rPr>
        <sz val="9.9"/>
        <rFont val="Arial"/>
        <family val="2"/>
      </rPr>
      <t>.</t>
    </r>
    <phoneticPr fontId="1" type="noConversion"/>
  </si>
  <si>
    <r>
      <t>수집한 데이터를 요약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묘사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설명하는 통계 기법 </t>
    </r>
  </si>
  <si>
    <r>
      <t>추론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추측</t>
    </r>
    <r>
      <rPr>
        <sz val="9.9"/>
        <rFont val="Arial"/>
        <family val="2"/>
      </rPr>
      <t xml:space="preserve">) </t>
    </r>
    <r>
      <rPr>
        <sz val="9.9"/>
        <rFont val="맑은 고딕"/>
        <family val="3"/>
        <charset val="129"/>
        <scheme val="minor"/>
      </rPr>
      <t>통계</t>
    </r>
  </si>
  <si>
    <r>
      <t>모델이 학습 데이터를 과하게 학습하여 훈련용 데이터에 대한 성능은 높게 나오지만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테스트 데이터에 대한 성능은 낮게 나오는 것</t>
    </r>
  </si>
  <si>
    <r>
      <t>과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대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>적합</t>
    </r>
  </si>
  <si>
    <r>
      <t xml:space="preserve">재표본추출 방법의 일종으로 중복추출을 허용하는 방법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 xml:space="preserve">주어진 자료에서 단순 랜덤 복원추출 방법을 활용하여 동일한 크기의 표본을 여러개 생성하는 샘플링 방법 </t>
    </r>
  </si>
  <si>
    <r>
      <t xml:space="preserve">회귀분석의 </t>
    </r>
    <r>
      <rPr>
        <sz val="9.9"/>
        <rFont val="Arial"/>
        <family val="2"/>
      </rPr>
      <t>5</t>
    </r>
    <r>
      <rPr>
        <sz val="9.9"/>
        <rFont val="맑은 고딕"/>
        <family val="3"/>
        <charset val="129"/>
        <scheme val="minor"/>
      </rPr>
      <t>가지 기본 가정</t>
    </r>
  </si>
  <si>
    <r>
      <t>선형성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독립성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등분산성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정규성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비상관성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선비등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는</t>
    </r>
    <r>
      <rPr>
        <sz val="9.9"/>
        <rFont val="Arial"/>
        <family val="2"/>
      </rPr>
      <t xml:space="preserve">) </t>
    </r>
    <r>
      <rPr>
        <sz val="9.9"/>
        <rFont val="맑은 고딕"/>
        <family val="3"/>
        <charset val="129"/>
        <scheme val="minor"/>
      </rPr>
      <t>정독</t>
    </r>
    <r>
      <rPr>
        <sz val="9.9"/>
        <rFont val="Arial"/>
        <family val="2"/>
      </rPr>
      <t>)</t>
    </r>
  </si>
  <si>
    <r>
      <t xml:space="preserve">우리는 모집단의 실제값과 회귀선과의 차이인 </t>
    </r>
    <r>
      <rPr>
        <sz val="9.9"/>
        <rFont val="Arial"/>
        <family val="2"/>
      </rPr>
      <t>(1)</t>
    </r>
    <r>
      <rPr>
        <sz val="9.9"/>
        <rFont val="맑은 고딕"/>
        <family val="3"/>
        <charset val="129"/>
        <scheme val="minor"/>
      </rPr>
      <t xml:space="preserve">을 알아낼 수 없기에 표본에서 나온 관측값과 회귀선의 차이인 </t>
    </r>
    <r>
      <rPr>
        <sz val="9.9"/>
        <rFont val="Arial"/>
        <family val="2"/>
      </rPr>
      <t>(2)</t>
    </r>
    <r>
      <rPr>
        <sz val="9.9"/>
        <rFont val="맑은 고딕"/>
        <family val="3"/>
        <charset val="129"/>
        <scheme val="minor"/>
      </rPr>
      <t>를 이용해 분석을 수행한다</t>
    </r>
    <r>
      <rPr>
        <sz val="9.9"/>
        <rFont val="Arial"/>
        <family val="2"/>
      </rPr>
      <t>.</t>
    </r>
  </si>
  <si>
    <r>
      <t>전체 변동 중 회귀모형에 의해 설명되는 변동의 비율로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표본에 의해 추정된 회귀식이 주어진 자료를 얼마나 잘 설명하는지를 보여주는 값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주어진 데이터에 회귀선이 얼마나 잘 맞는지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적합 정도를 평가하는 척도이자 독립변수들이 종속변수를 얼마나 잘 설명하는지 보여주는 지표</t>
    </r>
  </si>
  <si>
    <r>
      <t>인공신경망은 노드에 입력되는 값을 바로 다음 노드로 전달하지 않고 비선형 함수에 통과시킨 후 전달하는데 이때 사용되는 비선형 함수를 무엇이라고 하는가</t>
    </r>
    <r>
      <rPr>
        <sz val="9.9"/>
        <rFont val="Arial"/>
        <family val="2"/>
      </rPr>
      <t xml:space="preserve">? </t>
    </r>
  </si>
  <si>
    <r>
      <t>코호넨 맵이라고도 불리며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인공신경망을 기반으로 차원축소와 군집화를 동시에 수행할 수 있는 알고리즘은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>코호넨에 의해 제시되었으며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비지도 신경망으로 고차원의 데이터를 이해하기 쉬운 저차원의 뉴런으로 정렬하여 지도의 형태로 형상화하는 클러스터링 방법은 무엇인가</t>
    </r>
    <r>
      <rPr>
        <sz val="9.9"/>
        <rFont val="Arial"/>
        <family val="2"/>
      </rPr>
      <t>?</t>
    </r>
  </si>
  <si>
    <r>
      <t>Positive</t>
    </r>
    <r>
      <rPr>
        <sz val="9.9"/>
        <rFont val="맑은 고딕"/>
        <family val="3"/>
        <charset val="129"/>
        <scheme val="minor"/>
      </rPr>
      <t xml:space="preserve">로 예측한 것 중에서 실제 값이 </t>
    </r>
    <r>
      <rPr>
        <sz val="9.9"/>
        <rFont val="Arial"/>
        <family val="2"/>
      </rPr>
      <t>Positive</t>
    </r>
    <r>
      <rPr>
        <sz val="9.9"/>
        <rFont val="맑은 고딕"/>
        <family val="3"/>
        <charset val="129"/>
        <scheme val="minor"/>
      </rPr>
      <t xml:space="preserve">인 비율 </t>
    </r>
  </si>
  <si>
    <r>
      <t xml:space="preserve">실제 </t>
    </r>
    <r>
      <rPr>
        <sz val="9.9"/>
        <rFont val="Arial"/>
        <family val="2"/>
      </rPr>
      <t>Positive</t>
    </r>
    <r>
      <rPr>
        <sz val="9.9"/>
        <rFont val="맑은 고딕"/>
        <family val="3"/>
        <charset val="129"/>
        <scheme val="minor"/>
      </rPr>
      <t xml:space="preserve">인 값 중 </t>
    </r>
    <r>
      <rPr>
        <sz val="9.9"/>
        <rFont val="Arial"/>
        <family val="2"/>
      </rPr>
      <t>Positive</t>
    </r>
    <r>
      <rPr>
        <sz val="9.9"/>
        <rFont val="맑은 고딕"/>
        <family val="3"/>
        <charset val="129"/>
        <scheme val="minor"/>
      </rPr>
      <t xml:space="preserve">로 분류한 비율 </t>
    </r>
  </si>
  <si>
    <r>
      <t>재현율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민감도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참 긍정률</t>
    </r>
  </si>
  <si>
    <r>
      <t xml:space="preserve">실제 </t>
    </r>
    <r>
      <rPr>
        <sz val="9.9"/>
        <rFont val="Arial"/>
        <family val="2"/>
      </rPr>
      <t>Negative</t>
    </r>
    <r>
      <rPr>
        <sz val="9.9"/>
        <rFont val="맑은 고딕"/>
        <family val="3"/>
        <charset val="129"/>
        <scheme val="minor"/>
      </rPr>
      <t xml:space="preserve">인 값 중 </t>
    </r>
    <r>
      <rPr>
        <sz val="9.9"/>
        <rFont val="Arial"/>
        <family val="2"/>
      </rPr>
      <t>Negative</t>
    </r>
    <r>
      <rPr>
        <sz val="9.9"/>
        <rFont val="맑은 고딕"/>
        <family val="3"/>
        <charset val="129"/>
        <scheme val="minor"/>
      </rPr>
      <t xml:space="preserve">로 분류한 비율 </t>
    </r>
  </si>
  <si>
    <r>
      <t>특이도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참 부정률</t>
    </r>
  </si>
  <si>
    <r>
      <t xml:space="preserve">실제 </t>
    </r>
    <r>
      <rPr>
        <sz val="9.9"/>
        <rFont val="Arial"/>
        <family val="2"/>
      </rPr>
      <t>Negative</t>
    </r>
    <r>
      <rPr>
        <sz val="9.9"/>
        <rFont val="맑은 고딕"/>
        <family val="3"/>
        <charset val="129"/>
        <scheme val="minor"/>
      </rPr>
      <t xml:space="preserve">인 값 중 </t>
    </r>
    <r>
      <rPr>
        <sz val="9.9"/>
        <rFont val="Arial"/>
        <family val="2"/>
      </rPr>
      <t>Positive</t>
    </r>
    <r>
      <rPr>
        <sz val="9.9"/>
        <rFont val="맑은 고딕"/>
        <family val="3"/>
        <charset val="129"/>
        <scheme val="minor"/>
      </rPr>
      <t xml:space="preserve">로 잘못 분류한 비율 </t>
    </r>
  </si>
  <si>
    <r>
      <t>정밀도와 재현율의 조화평균으로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정밀도와 재현율 중 한쪽만 클 때보다 두 값이 골고르 클 때 큰 값이 된다</t>
    </r>
    <r>
      <rPr>
        <sz val="9.9"/>
        <rFont val="Arial"/>
        <family val="2"/>
      </rPr>
      <t xml:space="preserve">. </t>
    </r>
  </si>
  <si>
    <r>
      <t>F1-</t>
    </r>
    <r>
      <rPr>
        <sz val="9.9"/>
        <rFont val="맑은 고딕"/>
        <family val="3"/>
        <charset val="129"/>
        <scheme val="minor"/>
      </rPr>
      <t>스코어</t>
    </r>
  </si>
  <si>
    <r>
      <t xml:space="preserve">가장 단순한 종류의 교차검증 방법으로 데이터를 랜덤으로 추출해 학습 데이터와 테스트 데이터로 나누는 것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모형 평가방법 중 주어진 원천 데이터를 랜덤하게 두 분류로 분리하여 교차 검정을 실시하는 방법으로 하나는 모형의 학습 및 구축을 위한 훈련용 자료로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다른 하나는 성과 평가를 위한 검증용 자료로 사용하는 방법은 무엇인가?</t>
    </r>
    <phoneticPr fontId="1" type="noConversion"/>
  </si>
  <si>
    <r>
      <t>빅데이터 분석에 경제성을 제공해준 기술은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>인터넷상의 서버에서 데이터 저장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처리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네트워크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콘텐츠 사용 등 서로 다른 물리적인 위치에 존재하는 컴퓨팅 자원을 가상화 기술을 통해 </t>
    </r>
    <r>
      <rPr>
        <sz val="9.9"/>
        <rFont val="Arial"/>
        <family val="2"/>
      </rPr>
      <t xml:space="preserve">IT </t>
    </r>
    <r>
      <rPr>
        <sz val="9.9"/>
        <rFont val="맑은 고딕"/>
        <family val="3"/>
        <charset val="129"/>
        <scheme val="minor"/>
      </rPr>
      <t>관련 서비스를 한번에 제공하는 혁신적인 컴퓨팅 기술은</t>
    </r>
    <r>
      <rPr>
        <sz val="9.9"/>
        <rFont val="Arial"/>
        <family val="2"/>
      </rPr>
      <t>?</t>
    </r>
    <phoneticPr fontId="1" type="noConversion"/>
  </si>
  <si>
    <r>
      <t>데이터로부터 의미 있는 정보를 추출해 내는 학문은</t>
    </r>
    <r>
      <rPr>
        <sz val="9.9"/>
        <rFont val="Arial"/>
        <family val="2"/>
      </rPr>
      <t xml:space="preserve">? </t>
    </r>
  </si>
  <si>
    <r>
      <t xml:space="preserve">데이터에 관한 구조화된 데이터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 xml:space="preserve">어떤 목적을 가지고 만들어진 데이터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데이터 그 자체가 아니라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자료의 속성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구조 등을 설명하는 데이터</t>
    </r>
  </si>
  <si>
    <r>
      <t>합리적 의사결정을 방해하는 요소로 표현 방식 및 발표자에 따라 판단을 달리하는 것은</t>
    </r>
    <r>
      <rPr>
        <sz val="9.9"/>
        <rFont val="Arial"/>
        <family val="2"/>
      </rPr>
      <t>?</t>
    </r>
  </si>
  <si>
    <r>
      <t>작은 규모의 데이터 웨어하우스는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>데이터 웨어하우스에서 추출한 데이터를 특정 주제영역으로 분석 후 그 결과를 조직이나 팀에서 활용하도록 제공한 데이터</t>
    </r>
  </si>
  <si>
    <r>
      <t xml:space="preserve">평균으로부터 </t>
    </r>
    <r>
      <rPr>
        <sz val="9.9"/>
        <rFont val="Arial"/>
        <family val="2"/>
      </rPr>
      <t>K*</t>
    </r>
    <r>
      <rPr>
        <sz val="9.9"/>
        <rFont val="맑은 고딕"/>
        <family val="3"/>
        <charset val="129"/>
        <scheme val="minor"/>
      </rPr>
      <t>표준편차만큼 떨어져 있는 값들을 이상값으로 판단하는 방법</t>
    </r>
  </si>
  <si>
    <r>
      <t>주어진 시간 또는 영역에서 어떤 사건의 발생 횟수를 나타내는 확률 분포는</t>
    </r>
    <r>
      <rPr>
        <sz val="9.9"/>
        <rFont val="Arial"/>
        <family val="2"/>
      </rPr>
      <t xml:space="preserve">? </t>
    </r>
  </si>
  <si>
    <r>
      <t>비선형적인 관계도 파악할 수 있는 상관계수는</t>
    </r>
    <r>
      <rPr>
        <sz val="9.9"/>
        <rFont val="Arial"/>
        <family val="2"/>
      </rPr>
      <t xml:space="preserve">? </t>
    </r>
  </si>
  <si>
    <r>
      <t>회귀모형의 계수를 추정하는 방법으로써 잔차제곱합을 최소화하는 계수를 찾는 방법은</t>
    </r>
    <r>
      <rPr>
        <sz val="9.9"/>
        <rFont val="Arial"/>
        <family val="2"/>
      </rPr>
      <t>?</t>
    </r>
  </si>
  <si>
    <r>
      <t>회귀모형의 잔차항이 정규분포를 이뤄야 한다는 가정은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>미래는 확률적으로 과거와 동일하다는 것을 의미하는 시계열 용어는</t>
    </r>
    <r>
      <rPr>
        <sz val="9.9"/>
        <rFont val="Arial"/>
        <family val="2"/>
      </rPr>
      <t xml:space="preserve">? </t>
    </r>
  </si>
  <si>
    <r>
      <t>현 시점의 자료값에서 전 시점의 자료를 빼는 방법은</t>
    </r>
    <r>
      <rPr>
        <sz val="9.9"/>
        <rFont val="Arial"/>
        <family val="2"/>
      </rPr>
      <t xml:space="preserve">? </t>
    </r>
  </si>
  <si>
    <r>
      <t>동일한 상대적 거리를 가진 실수 공간의 점들로 대상들을 배치시키는 방법은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>개체들 사이의 유사성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비유사성을 측정하여 </t>
    </r>
    <r>
      <rPr>
        <sz val="9.9"/>
        <rFont val="Arial"/>
        <family val="2"/>
      </rPr>
      <t>2</t>
    </r>
    <r>
      <rPr>
        <sz val="9.9"/>
        <rFont val="맑은 고딕"/>
        <family val="3"/>
        <charset val="129"/>
        <scheme val="minor"/>
      </rPr>
      <t xml:space="preserve">차원 또는 </t>
    </r>
    <r>
      <rPr>
        <sz val="9.9"/>
        <rFont val="Arial"/>
        <family val="2"/>
      </rPr>
      <t>3</t>
    </r>
    <r>
      <rPr>
        <sz val="9.9"/>
        <rFont val="맑은 고딕"/>
        <family val="3"/>
        <charset val="129"/>
        <scheme val="minor"/>
      </rPr>
      <t>차원 공간상에 점으로 표현하여 개체들 사이의 집단화를 시각적으로 표현하는 분석 방법</t>
    </r>
  </si>
  <si>
    <r>
      <t>의사결정 나무에서 더 이상 분기되지 않도록 하는 규칙은</t>
    </r>
    <r>
      <rPr>
        <sz val="9.9"/>
        <rFont val="Arial"/>
        <family val="2"/>
      </rPr>
      <t xml:space="preserve">? </t>
    </r>
  </si>
  <si>
    <r>
      <t>여러 개의 결정 트리 분류기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같은 알고리즘이 여러 개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>가 전체 데이터에서 배깅 방식으로 각자의 데이터를 샘플링해 개별적으로 학습을 수한한 뒤 최종적으로 모든 분류기가 보팅을 통해 예측을 결정하는 앙상블 알고리즘은</t>
    </r>
    <r>
      <rPr>
        <sz val="9.9"/>
        <rFont val="Arial"/>
        <family val="2"/>
      </rPr>
      <t>?</t>
    </r>
  </si>
  <si>
    <r>
      <t>다층 신경망에서 은닉층이 많아 학습이 이루어지지 않는 문제는 무엇인가</t>
    </r>
    <r>
      <rPr>
        <sz val="9.9"/>
        <rFont val="Arial"/>
        <family val="2"/>
      </rPr>
      <t xml:space="preserve">? </t>
    </r>
  </si>
  <si>
    <r>
      <t xml:space="preserve">출력값 </t>
    </r>
    <r>
      <rPr>
        <sz val="9.9"/>
        <rFont val="Arial"/>
        <family val="2"/>
      </rPr>
      <t>z</t>
    </r>
    <r>
      <rPr>
        <sz val="9.9"/>
        <rFont val="맑은 고딕"/>
        <family val="3"/>
        <charset val="129"/>
        <scheme val="minor"/>
      </rPr>
      <t>가 여러 개로 주어지고 목표치가 다범주인 경우 각 범주에 속할 사후 확률을 제공하는 함수는</t>
    </r>
    <r>
      <rPr>
        <sz val="9.9"/>
        <rFont val="Arial"/>
        <family val="2"/>
      </rPr>
      <t xml:space="preserve">? </t>
    </r>
  </si>
  <si>
    <r>
      <t>군집내 거리와 군집간의 거리를 기준으로 군집 분할 성과를 측정하는 방식은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 xml:space="preserve">군집 내의 데이터 응집도와 군집 간 분리도를 계산하는 지표는? </t>
    </r>
    <phoneticPr fontId="1" type="noConversion"/>
  </si>
  <si>
    <r>
      <t>두 벡터 사이의 각도를 이용하여 벡터간의 유사 정도를 측정하는 방식은</t>
    </r>
    <r>
      <rPr>
        <sz val="9.9"/>
        <rFont val="Arial"/>
        <family val="2"/>
      </rPr>
      <t xml:space="preserve">? </t>
    </r>
  </si>
  <si>
    <r>
      <t>계층적 군집분석에서 군집 내의 오차제곱합에 기초하여 거리를 측정하는 방법은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>오차제곱합의 합에 비해 증가한 정도가 작아지는 방향으로 군집하는 방법은</t>
    </r>
    <r>
      <rPr>
        <sz val="9.9"/>
        <rFont val="Arial"/>
        <family val="2"/>
      </rPr>
      <t xml:space="preserve">? </t>
    </r>
  </si>
  <si>
    <r>
      <t>연관규칙 분석에서 품목간 상관관계를 기준으로 규칙의 예측력을 평가하는 지표는</t>
    </r>
    <r>
      <rPr>
        <sz val="9.9"/>
        <rFont val="Arial"/>
        <family val="2"/>
      </rPr>
      <t>? / A</t>
    </r>
    <r>
      <rPr>
        <sz val="9.9"/>
        <rFont val="맑은 고딕"/>
        <family val="3"/>
        <charset val="129"/>
        <scheme val="minor"/>
      </rPr>
      <t>→</t>
    </r>
    <r>
      <rPr>
        <sz val="9.9"/>
        <rFont val="Arial"/>
        <family val="2"/>
      </rPr>
      <t>B</t>
    </r>
    <r>
      <rPr>
        <sz val="9.9"/>
        <rFont val="맑은 고딕"/>
        <family val="3"/>
        <charset val="129"/>
        <scheme val="minor"/>
      </rPr>
      <t xml:space="preserve">의 연관 규칙에서 임의로 </t>
    </r>
    <r>
      <rPr>
        <sz val="9.9"/>
        <rFont val="Arial"/>
        <family val="2"/>
      </rPr>
      <t>B</t>
    </r>
    <r>
      <rPr>
        <sz val="9.9"/>
        <rFont val="맑은 고딕"/>
        <family val="3"/>
        <charset val="129"/>
        <scheme val="minor"/>
      </rPr>
      <t xml:space="preserve">가 구매되는 경우에 비해 </t>
    </r>
    <r>
      <rPr>
        <sz val="9.9"/>
        <rFont val="Arial"/>
        <family val="2"/>
      </rPr>
      <t>A</t>
    </r>
    <r>
      <rPr>
        <sz val="9.9"/>
        <rFont val="맑은 고딕"/>
        <family val="3"/>
        <charset val="129"/>
        <scheme val="minor"/>
      </rPr>
      <t>와의 관계가 고려되어 구매되는 경우의 비율이다</t>
    </r>
    <r>
      <rPr>
        <sz val="9.9"/>
        <rFont val="Arial"/>
        <family val="2"/>
      </rPr>
      <t xml:space="preserve">. </t>
    </r>
  </si>
  <si>
    <r>
      <t xml:space="preserve">전체 항목 중 </t>
    </r>
    <r>
      <rPr>
        <sz val="9.9"/>
        <rFont val="Arial"/>
        <family val="2"/>
      </rPr>
      <t>A</t>
    </r>
    <r>
      <rPr>
        <sz val="9.9"/>
        <rFont val="맑은 고딕"/>
        <family val="3"/>
        <charset val="129"/>
        <scheme val="minor"/>
      </rPr>
      <t xml:space="preserve">와 </t>
    </r>
    <r>
      <rPr>
        <sz val="9.9"/>
        <rFont val="Arial"/>
        <family val="2"/>
      </rPr>
      <t>B</t>
    </r>
    <r>
      <rPr>
        <sz val="9.9"/>
        <rFont val="맑은 고딕"/>
        <family val="3"/>
        <charset val="129"/>
        <scheme val="minor"/>
      </rPr>
      <t>가 동시에 포함되는 항목의 비율은</t>
    </r>
    <r>
      <rPr>
        <sz val="9.9"/>
        <rFont val="Arial"/>
        <family val="2"/>
      </rPr>
      <t xml:space="preserve">? </t>
    </r>
  </si>
  <si>
    <r>
      <t>정규화 방법 중 원 데이터의 분포를 유지하면서 정규화하는 방법은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 xml:space="preserve">모든 데이터를 </t>
    </r>
    <r>
      <rPr>
        <sz val="9.9"/>
        <rFont val="Arial"/>
        <family val="2"/>
      </rPr>
      <t>0</t>
    </r>
    <r>
      <rPr>
        <sz val="9.9"/>
        <rFont val="맑은 고딕"/>
        <family val="3"/>
        <charset val="129"/>
        <scheme val="minor"/>
      </rPr>
      <t xml:space="preserve">과 </t>
    </r>
    <r>
      <rPr>
        <sz val="9.9"/>
        <rFont val="Arial"/>
        <family val="2"/>
      </rPr>
      <t xml:space="preserve">1 </t>
    </r>
    <r>
      <rPr>
        <sz val="9.9"/>
        <rFont val="맑은 고딕"/>
        <family val="3"/>
        <charset val="129"/>
        <scheme val="minor"/>
      </rPr>
      <t>사이의 값으로 변환하는 기법은</t>
    </r>
    <r>
      <rPr>
        <sz val="9.9"/>
        <rFont val="Arial"/>
        <family val="2"/>
      </rPr>
      <t>?</t>
    </r>
  </si>
  <si>
    <r>
      <t>최소</t>
    </r>
    <r>
      <rPr>
        <sz val="9.9"/>
        <rFont val="Arial"/>
        <family val="2"/>
      </rPr>
      <t>-</t>
    </r>
    <r>
      <rPr>
        <sz val="9.9"/>
        <rFont val="맑은 고딕"/>
        <family val="3"/>
        <charset val="129"/>
        <scheme val="minor"/>
      </rPr>
      <t>최대</t>
    </r>
    <r>
      <rPr>
        <sz val="9.9"/>
        <rFont val="Arial"/>
        <family val="2"/>
      </rPr>
      <t xml:space="preserve">(Min-Max) </t>
    </r>
    <r>
      <rPr>
        <sz val="9.9"/>
        <rFont val="맑은 고딕"/>
        <family val="3"/>
        <charset val="129"/>
        <scheme val="minor"/>
      </rPr>
      <t>정규화</t>
    </r>
  </si>
  <si>
    <r>
      <t>일반 상용 서버로 구성된 클러스터에서 사용할 수 있는 분산 파일 시스템과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대량의 자료를 처리하기 위한 분산 처리 시스템을 제공하는 오픈소스 프레임워크 </t>
    </r>
  </si>
  <si>
    <r>
      <t>당사자의 동의 없는 개인정보 수집 및 활용하거나 제</t>
    </r>
    <r>
      <rPr>
        <sz val="9.9"/>
        <rFont val="Arial"/>
        <family val="2"/>
      </rPr>
      <t>3</t>
    </r>
    <r>
      <rPr>
        <sz val="9.9"/>
        <rFont val="맑은 고딕"/>
        <family val="3"/>
        <charset val="129"/>
        <scheme val="minor"/>
      </rPr>
      <t xml:space="preserve">자에게 제공하는 것을 금지하는 등 개인정보보호를 강화한 내용을 담아 제정한 법률 </t>
    </r>
  </si>
  <si>
    <r>
      <t>데이터의 전부 또는 일부분을 대체값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공백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노이즈 등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 xml:space="preserve">으로 변환하는 비식별화 방법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개인의 사생활 침해를 방지하고 통계 응답자의 비밀사항은 보호하면서 통계자료의 유용성을 최대한 확보할 수 있는 데이터변환 방법은</t>
    </r>
    <r>
      <rPr>
        <sz val="9.9"/>
        <rFont val="Arial"/>
        <family val="2"/>
      </rPr>
      <t>?</t>
    </r>
  </si>
  <si>
    <r>
      <t xml:space="preserve">동일하거나 다른 학습 알고리즘을 사용해서 여러 모델을 학습하는 개념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주어진 자료로부터 여러 개의 예측모형들을 만든 후 예측모형들을 조합하여 하나의 최종 예측 모형을 만들어 분류 정확성을 향상시키는 기법은</t>
    </r>
    <r>
      <rPr>
        <sz val="9.9"/>
        <rFont val="Arial"/>
        <family val="2"/>
      </rPr>
      <t>?</t>
    </r>
  </si>
  <si>
    <r>
      <t>반복을 통하여 점증적으로 개발하는 방법으로 처음 시도하는 프로젝트에 적용이 용이하지만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반복에 대한 관리 체계를 효과적으로 갖추지 못한 경우 복잡도가 상승하여 프로젝트 진행이 어려울 수 있는 모델은 무엇인가</t>
    </r>
    <r>
      <rPr>
        <sz val="9.9"/>
        <rFont val="Arial"/>
        <family val="2"/>
      </rPr>
      <t>?</t>
    </r>
    <phoneticPr fontId="1" type="noConversion"/>
  </si>
  <si>
    <r>
      <t>모델의 파라미터값을 측정하기 위해 알고리즘 구현 과정에서 사용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주로 알고리즘 사용자에 의해 결정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경험에 의해 결정 가능한 값이며 모델 성능 향상을 위해 조절해주는 값은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>인공지능 모델 학습 시 데이터 분석을 통해서가 아니라 사용자가 직접 설정해 주는 값은</t>
    </r>
    <r>
      <rPr>
        <sz val="9.9"/>
        <rFont val="Arial"/>
        <family val="2"/>
      </rPr>
      <t>?</t>
    </r>
  </si>
  <si>
    <r>
      <t xml:space="preserve">GMM(Gaussian Mixture Model) </t>
    </r>
    <r>
      <rPr>
        <sz val="9.9"/>
        <rFont val="맑은 고딕"/>
        <family val="3"/>
        <charset val="129"/>
        <scheme val="minor"/>
      </rPr>
      <t>군집분석이 모수를 학습하는 방법은</t>
    </r>
    <r>
      <rPr>
        <sz val="9.9"/>
        <rFont val="Arial"/>
        <family val="2"/>
      </rPr>
      <t xml:space="preserve">? </t>
    </r>
  </si>
  <si>
    <r>
      <t xml:space="preserve">EM </t>
    </r>
    <r>
      <rPr>
        <sz val="9.9"/>
        <rFont val="맑은 고딕"/>
        <family val="3"/>
        <charset val="129"/>
        <scheme val="minor"/>
      </rPr>
      <t>알고리즘</t>
    </r>
  </si>
  <si>
    <r>
      <t>빅데이터 저장 기술로 관계형 데이터베이스 관리 시스템으로 하나의 데이터베이스를 여러 개의 서버상에 구축하는 시스템은</t>
    </r>
    <r>
      <rPr>
        <sz val="9.9"/>
        <rFont val="Arial"/>
        <family val="2"/>
      </rPr>
      <t>?</t>
    </r>
  </si>
  <si>
    <r>
      <t>데이터를 분리하는 초평면 중에서 데이터들과 거리가 가장 먼 초평면을 선택하여 분리하는 지도 학습 기반의 이진 선형 분류 모델은</t>
    </r>
    <r>
      <rPr>
        <sz val="9.9"/>
        <rFont val="Arial"/>
        <family val="2"/>
      </rPr>
      <t xml:space="preserve">? / </t>
    </r>
    <r>
      <rPr>
        <sz val="9.9"/>
        <rFont val="맑은 고딕"/>
        <family val="3"/>
        <charset val="129"/>
        <scheme val="minor"/>
      </rPr>
      <t>주어진 데이터에서 마진을 최대화하는 초평면을 구하는 방법으로 학습하는 알고리즘은</t>
    </r>
    <r>
      <rPr>
        <sz val="9.9"/>
        <rFont val="Arial"/>
        <family val="2"/>
      </rPr>
      <t>?</t>
    </r>
  </si>
  <si>
    <r>
      <t>데이터 안에 관찰할 수 없는 잠재적인 변수가 존재한다고 가정하는 차원축소기법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모형을 세운 뒤 관찰 가능한 데이터를 이용하여 해당 잠재 요인을 도출하고 데이터 안의 구조를 해석하는 기법은</t>
    </r>
    <r>
      <rPr>
        <sz val="9.9"/>
        <rFont val="Arial"/>
        <family val="2"/>
      </rPr>
      <t>?</t>
    </r>
  </si>
  <si>
    <r>
      <t xml:space="preserve">분석 대상 데이터 집합에서 준식별자 속성이 동일한 레코드가 적어도 </t>
    </r>
    <r>
      <rPr>
        <sz val="9.9"/>
        <rFont val="Arial"/>
        <family val="2"/>
      </rPr>
      <t>K</t>
    </r>
    <r>
      <rPr>
        <sz val="9.9"/>
        <rFont val="맑은 고딕"/>
        <family val="3"/>
        <charset val="129"/>
        <scheme val="minor"/>
      </rPr>
      <t>개 이상 존재하도록 제한하는 개인정보 보호 기법</t>
    </r>
  </si>
  <si>
    <r>
      <t>k-</t>
    </r>
    <r>
      <rPr>
        <sz val="9.9"/>
        <rFont val="맑은 고딕"/>
        <family val="3"/>
        <charset val="129"/>
        <scheme val="minor"/>
      </rPr>
      <t>익명성</t>
    </r>
  </si>
  <si>
    <r>
      <t>대규모 분산 시스템 모니터링을 위해 에이전트와 컬렉터 구성을 통해 데이터를 수집하고 수집된 데이터를 하둡 파일 시스템</t>
    </r>
    <r>
      <rPr>
        <sz val="9.9"/>
        <rFont val="Arial"/>
        <family val="2"/>
      </rPr>
      <t>(HDFS)</t>
    </r>
    <r>
      <rPr>
        <sz val="9.9"/>
        <rFont val="맑은 고딕"/>
        <family val="3"/>
        <charset val="129"/>
        <scheme val="minor"/>
      </rPr>
      <t>에 저장하는 기능을 제공하는 데이터 수집 기술</t>
    </r>
  </si>
  <si>
    <r>
      <t>RDBMS</t>
    </r>
    <r>
      <rPr>
        <sz val="9.9"/>
        <rFont val="맑은 고딕"/>
        <family val="3"/>
        <charset val="129"/>
        <scheme val="minor"/>
      </rPr>
      <t>와 하둡 사이의 데이터를 이동시켜주는 애플리케이션</t>
    </r>
  </si>
  <si>
    <r>
      <t xml:space="preserve">분산 환경에서 대량의 로그 데이터를 효과적으로 수집하여 합친 후 다른 곳으로 전송할 수 있는 신뢰할 수 </t>
    </r>
    <r>
      <rPr>
        <sz val="9.9"/>
        <rFont val="Arial"/>
        <family val="2"/>
      </rPr>
      <t>lT</t>
    </r>
    <r>
      <rPr>
        <sz val="9.9"/>
        <rFont val="맑은 고딕"/>
        <family val="3"/>
        <charset val="129"/>
        <scheme val="minor"/>
      </rPr>
      <t>는 서비스</t>
    </r>
  </si>
  <si>
    <r>
      <t>빅데이터 저장 기술로 컴퓨터 네트워크를 통해 공유하는 여러 호스트 컴퓨터의 파일에 접근할 수 있게 하는 파일 시스템은</t>
    </r>
    <r>
      <rPr>
        <sz val="9.9"/>
        <rFont val="Arial"/>
        <family val="2"/>
      </rPr>
      <t xml:space="preserve">? </t>
    </r>
  </si>
  <si>
    <r>
      <t>실시간으로 기록 스트림을 게시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구독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저장 및 처리할 수 있는 분산 데이터 스트리밍 플랫폼</t>
    </r>
  </si>
  <si>
    <r>
      <t xml:space="preserve">구글에서 대용량 데이터 처리를 분산 병렬 컴퓨팅에서 처리하기 위한 목적으로 제작하여 </t>
    </r>
    <r>
      <rPr>
        <sz val="9.9"/>
        <rFont val="Arial"/>
        <family val="2"/>
      </rPr>
      <t>2004</t>
    </r>
    <r>
      <rPr>
        <sz val="9.9"/>
        <rFont val="맑은 고딕"/>
        <family val="3"/>
        <charset val="129"/>
        <scheme val="minor"/>
      </rPr>
      <t>년 발표한 소프트웨어 프레임워크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간단하게 설명하자면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한명이 </t>
    </r>
    <r>
      <rPr>
        <sz val="9.9"/>
        <rFont val="Arial"/>
        <family val="2"/>
      </rPr>
      <t>4</t>
    </r>
    <r>
      <rPr>
        <sz val="9.9"/>
        <rFont val="맑은 고딕"/>
        <family val="3"/>
        <charset val="129"/>
        <scheme val="minor"/>
      </rPr>
      <t xml:space="preserve">주 작업할 일을 </t>
    </r>
    <r>
      <rPr>
        <sz val="9.9"/>
        <rFont val="Arial"/>
        <family val="2"/>
      </rPr>
      <t>4</t>
    </r>
    <r>
      <rPr>
        <sz val="9.9"/>
        <rFont val="맑은 고딕"/>
        <family val="3"/>
        <charset val="129"/>
        <scheme val="minor"/>
      </rPr>
      <t xml:space="preserve">명이 나누어 </t>
    </r>
    <r>
      <rPr>
        <sz val="9.9"/>
        <rFont val="Arial"/>
        <family val="2"/>
      </rPr>
      <t>1</t>
    </r>
    <r>
      <rPr>
        <sz val="9.9"/>
        <rFont val="맑은 고딕"/>
        <family val="3"/>
        <charset val="129"/>
        <scheme val="minor"/>
      </rPr>
      <t>주일에 끝내는 것</t>
    </r>
  </si>
  <si>
    <r>
      <t>MapReduce (</t>
    </r>
    <r>
      <rPr>
        <sz val="9.9"/>
        <rFont val="맑은 고딕"/>
        <family val="3"/>
        <charset val="129"/>
        <scheme val="minor"/>
      </rPr>
      <t>맵리듀스</t>
    </r>
    <r>
      <rPr>
        <sz val="9.9"/>
        <rFont val="Arial"/>
        <family val="2"/>
      </rPr>
      <t>)</t>
    </r>
  </si>
  <si>
    <r>
      <t>인터넷상에서 제공되는 다양한 웹 사이트로부터 소셜 네트워크 정보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뉴스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게시판 등의 웹 문서 및 콘텐츠 수집 기술 </t>
    </r>
  </si>
  <si>
    <r>
      <t xml:space="preserve">주어진 데이터를 </t>
    </r>
    <r>
      <rPr>
        <sz val="9.9"/>
        <rFont val="Arial"/>
        <family val="2"/>
      </rPr>
      <t>k</t>
    </r>
    <r>
      <rPr>
        <sz val="9.9"/>
        <rFont val="맑은 고딕"/>
        <family val="3"/>
        <charset val="129"/>
        <scheme val="minor"/>
      </rPr>
      <t>개의 클러스터로 묶는 알고리즘으로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각 클러스터와 거리 차이의 분산을 최소화하는 방식으로 동작한다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이 알고리즘은 자율 학습의 일종으로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레이블이 달려 있지 않은 입력 데이터에 레이블을 달아주는 역할을 수행한다</t>
    </r>
    <r>
      <rPr>
        <sz val="9.9"/>
        <rFont val="Arial"/>
        <family val="2"/>
      </rPr>
      <t xml:space="preserve">. </t>
    </r>
  </si>
  <si>
    <r>
      <t>데이터베이스의 테이블이 어떻게 구성되는지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어떤 정보를 담고 있는지에 대한 기본적인 구조를 정의하는 것</t>
    </r>
  </si>
  <si>
    <r>
      <t>지역별 매출액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영업이익률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판매량과 같이 수치로 명확하게 표현되는 데이터로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그 양이 크게 증가하더라도 이를 </t>
    </r>
    <r>
      <rPr>
        <sz val="9.9"/>
        <rFont val="Arial"/>
        <family val="2"/>
      </rPr>
      <t>DBMS</t>
    </r>
    <r>
      <rPr>
        <sz val="9.9"/>
        <rFont val="맑은 고딕"/>
        <family val="3"/>
        <charset val="129"/>
        <scheme val="minor"/>
      </rPr>
      <t>에 저장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검색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분석하여 활용하기가 용이하다</t>
    </r>
    <r>
      <rPr>
        <sz val="9.9"/>
        <rFont val="Arial"/>
        <family val="2"/>
      </rPr>
      <t xml:space="preserve">. </t>
    </r>
  </si>
  <si>
    <r>
      <t xml:space="preserve">번호를 부여한 샘플을 나열하여 </t>
    </r>
    <r>
      <rPr>
        <sz val="9.9"/>
        <rFont val="Arial"/>
        <family val="2"/>
      </rPr>
      <t>k</t>
    </r>
    <r>
      <rPr>
        <sz val="9.9"/>
        <rFont val="맑은 고딕"/>
        <family val="3"/>
        <charset val="129"/>
        <scheme val="minor"/>
      </rPr>
      <t xml:space="preserve">개씩 </t>
    </r>
    <r>
      <rPr>
        <sz val="9.9"/>
        <rFont val="Arial"/>
        <family val="2"/>
      </rPr>
      <t>n</t>
    </r>
    <r>
      <rPr>
        <sz val="9.9"/>
        <rFont val="맑은 고딕"/>
        <family val="3"/>
        <charset val="129"/>
        <scheme val="minor"/>
      </rPr>
      <t xml:space="preserve">개의 구간을 나누고 첫 구간에서 하나를 임의로 선택한 후에 </t>
    </r>
    <r>
      <rPr>
        <sz val="9.9"/>
        <rFont val="Arial"/>
        <family val="2"/>
      </rPr>
      <t>k</t>
    </r>
    <r>
      <rPr>
        <sz val="9.9"/>
        <rFont val="맑은 고딕"/>
        <family val="3"/>
        <charset val="129"/>
        <scheme val="minor"/>
      </rPr>
      <t xml:space="preserve">개씩 띄어서 표본을 선택하고 매번 </t>
    </r>
    <r>
      <rPr>
        <sz val="9.9"/>
        <rFont val="Arial"/>
        <family val="2"/>
      </rPr>
      <t>k</t>
    </r>
    <r>
      <rPr>
        <sz val="9.9"/>
        <rFont val="맑은 고딕"/>
        <family val="3"/>
        <charset val="129"/>
        <scheme val="minor"/>
      </rPr>
      <t>번째 항목을 추출하는 표본 추출 방법</t>
    </r>
  </si>
  <si>
    <r>
      <t>시계열 분석의 기본이 되는 중요한 개념으로 시계열의 평균과 분산이 일정하고 일정한 추세가 없는 것을 무엇이라 하는가</t>
    </r>
    <r>
      <rPr>
        <sz val="9.9"/>
        <rFont val="Arial"/>
        <family val="2"/>
      </rPr>
      <t xml:space="preserve">? </t>
    </r>
  </si>
  <si>
    <r>
      <t>이것은 데이터 안의 두 변수 간의 관계를 알아보기 위해 사용하는 값이다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두 변수간의 공분산으로는 음과 양의 관계를 파악할 수 있으나 관계 정도를 확인하기는 힘들다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 xml:space="preserve">그래서 각 변수의 표준편차를 곱하여 공분산을 나누어 </t>
    </r>
    <r>
      <rPr>
        <sz val="9.9"/>
        <rFont val="Arial"/>
        <family val="2"/>
      </rPr>
      <t>-1</t>
    </r>
    <r>
      <rPr>
        <sz val="9.9"/>
        <rFont val="맑은 고딕"/>
        <family val="3"/>
        <charset val="129"/>
        <scheme val="minor"/>
      </rPr>
      <t xml:space="preserve">에서 </t>
    </r>
    <r>
      <rPr>
        <sz val="9.9"/>
        <rFont val="Arial"/>
        <family val="2"/>
      </rPr>
      <t>1</t>
    </r>
    <r>
      <rPr>
        <sz val="9.9"/>
        <rFont val="맑은 고딕"/>
        <family val="3"/>
        <charset val="129"/>
        <scheme val="minor"/>
      </rPr>
      <t>사이의 값으로 표준화하여 두 변수 간의 관계 정도를 확인 할 수 있도록 수치화 한 이것을 활용한다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이것은 무엇인가</t>
    </r>
    <r>
      <rPr>
        <sz val="9.9"/>
        <rFont val="Arial"/>
        <family val="2"/>
      </rPr>
      <t>?</t>
    </r>
  </si>
  <si>
    <r>
      <t>우리는 모집단을 조사하기 위해 추출한 모집단의 일부 원소를 이용한다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통계자료의 획득 방법 중 모집단을 조사하기 위해 추출한 집단을 무엇이라 하는가</t>
    </r>
    <r>
      <rPr>
        <sz val="9.9"/>
        <rFont val="Arial"/>
        <family val="2"/>
      </rPr>
      <t xml:space="preserve">? </t>
    </r>
  </si>
  <si>
    <r>
      <t>표본 집단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샘플</t>
    </r>
  </si>
  <si>
    <r>
      <t>풀어야 할 문제에 대한 상세한 설명 및 해당 문제를 해결했을 때 발생하는 효과를 명시함으로써 향후 데이터 분석 문제로의 전환 및 적합성 평가에 활용하도록 하는 것은 무엇인가</t>
    </r>
    <r>
      <rPr>
        <sz val="9.9"/>
        <rFont val="Arial"/>
        <family val="2"/>
      </rPr>
      <t>?</t>
    </r>
  </si>
  <si>
    <r>
      <t>의사결정나무 중 연속형 타깃변수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또는 목표변수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>를 예측하는 의사결정나무를 무엇이라고 하는가</t>
    </r>
    <r>
      <rPr>
        <sz val="9.9"/>
        <rFont val="Arial"/>
        <family val="2"/>
      </rPr>
      <t xml:space="preserve">? </t>
    </r>
  </si>
  <si>
    <r>
      <t>각종 사물에 센서와 통신 기능을 내장하여 인터넷에 연결하는 기술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즉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무선 통신을 통해 각종 사물을 연결하는 기술을 의미</t>
    </r>
  </si>
  <si>
    <r>
      <t xml:space="preserve">이것은 비즈니스 측면에서 일반적으로 </t>
    </r>
    <r>
      <rPr>
        <sz val="9.9"/>
        <rFont val="Arial"/>
        <family val="2"/>
      </rPr>
      <t>&amp;</t>
    </r>
    <r>
      <rPr>
        <sz val="9.9"/>
        <rFont val="맑은 고딕"/>
        <family val="3"/>
        <charset val="129"/>
        <scheme val="minor"/>
      </rPr>
      <t>공동 활용의 목적으로 구축된 유무형의 구조물</t>
    </r>
    <r>
      <rPr>
        <sz val="9.9"/>
        <rFont val="Arial"/>
        <family val="2"/>
      </rPr>
      <t>&amp;</t>
    </r>
    <r>
      <rPr>
        <sz val="9.9"/>
        <rFont val="맑은 고딕"/>
        <family val="3"/>
        <charset val="129"/>
        <scheme val="minor"/>
      </rPr>
      <t>을 의미한다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수집된 데이터를 가공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처리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저장해두고 이 데이터에 접근할 수 있도록 </t>
    </r>
    <r>
      <rPr>
        <sz val="9.9"/>
        <rFont val="Arial"/>
        <family val="2"/>
      </rPr>
      <t>API</t>
    </r>
    <r>
      <rPr>
        <sz val="9.9"/>
        <rFont val="맑은 고딕"/>
        <family val="3"/>
        <charset val="129"/>
        <scheme val="minor"/>
      </rPr>
      <t>를 공개한다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그러면 다양한 서드파티 사업자들이 비즈니스에 필요한 정보를 추출해 활용하게 되고 빅데이터는 그 자체로 이 역할을 수행하게 된다</t>
    </r>
    <r>
      <rPr>
        <sz val="9.9"/>
        <rFont val="Arial"/>
        <family val="2"/>
      </rPr>
      <t xml:space="preserve">. </t>
    </r>
  </si>
  <si>
    <r>
      <t xml:space="preserve">변수들의 자기상관성을 기반으로 한 시계열 모형으로 현시점의 자료를 </t>
    </r>
    <r>
      <rPr>
        <sz val="9.9"/>
        <rFont val="Arial"/>
        <family val="2"/>
      </rPr>
      <t>p</t>
    </r>
    <r>
      <rPr>
        <sz val="9.9"/>
        <rFont val="맑은 고딕"/>
        <family val="3"/>
        <charset val="129"/>
        <scheme val="minor"/>
      </rPr>
      <t>시점 전의 과거 자료를 통해 설명할 수 있는 모델이다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자기 자신의 과거 값이 이후 자신의 값에 영향을 준다</t>
    </r>
    <r>
      <rPr>
        <sz val="9.9"/>
        <rFont val="Arial"/>
        <family val="2"/>
      </rPr>
      <t xml:space="preserve">. / </t>
    </r>
    <r>
      <rPr>
        <sz val="9.9"/>
        <rFont val="맑은 고딕"/>
        <family val="3"/>
        <charset val="129"/>
        <scheme val="minor"/>
      </rPr>
      <t xml:space="preserve">현시점의 자료가 </t>
    </r>
    <r>
      <rPr>
        <sz val="9.9"/>
        <rFont val="Arial"/>
        <family val="2"/>
      </rPr>
      <t xml:space="preserve">k </t>
    </r>
    <r>
      <rPr>
        <sz val="9.9"/>
        <rFont val="맑은 고딕"/>
        <family val="3"/>
        <charset val="129"/>
        <scheme val="minor"/>
      </rPr>
      <t xml:space="preserve">시점 이전의 유한개의 과거 자료로 설명할 수 있는 모형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자기 자신의 과거 값이 이후 자신의 값에 영향을 주기 때문에 이름이 붙음</t>
    </r>
  </si>
  <si>
    <r>
      <t xml:space="preserve">현재 데이터가 과거 백색잡음의 선형 가중합으로 구성된다는 모형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 xml:space="preserve">시간이 갈수록 관측치의 평균값이 지속해서 증가하거나 감소하는 시계열모형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 xml:space="preserve">백색잡음 과정은 서로 독립이고 평균이 </t>
    </r>
    <r>
      <rPr>
        <sz val="9.9"/>
        <rFont val="Arial"/>
        <family val="2"/>
      </rPr>
      <t>0</t>
    </r>
    <r>
      <rPr>
        <sz val="9.9"/>
        <rFont val="맑은 고딕"/>
        <family val="3"/>
        <charset val="129"/>
        <scheme val="minor"/>
      </rPr>
      <t>인 확률변수이므로 항상 정상성을 만족함</t>
    </r>
  </si>
  <si>
    <r>
      <t>데이터가 비정상성이 아닌 증거를 나타내는 경우에 적용되며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초기 차분 단계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 xml:space="preserve">모델의 </t>
    </r>
    <r>
      <rPr>
        <sz val="9.9"/>
        <rFont val="Arial"/>
        <family val="2"/>
      </rPr>
      <t>"</t>
    </r>
    <r>
      <rPr>
        <sz val="9.9"/>
        <rFont val="맑은 고딕"/>
        <family val="3"/>
        <charset val="129"/>
        <scheme val="minor"/>
      </rPr>
      <t>통합된</t>
    </r>
    <r>
      <rPr>
        <sz val="9.9"/>
        <rFont val="Arial"/>
        <family val="2"/>
      </rPr>
      <t xml:space="preserve">" </t>
    </r>
    <r>
      <rPr>
        <sz val="9.9"/>
        <rFont val="맑은 고딕"/>
        <family val="3"/>
        <charset val="129"/>
        <scheme val="minor"/>
      </rPr>
      <t>부분에 해당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>를 한 번 이상 적용하여 비정상성을 제거할 수 있다</t>
    </r>
    <r>
      <rPr>
        <sz val="9.9"/>
        <rFont val="Arial"/>
        <family val="2"/>
      </rPr>
      <t xml:space="preserve">. / </t>
    </r>
    <r>
      <rPr>
        <sz val="9.9"/>
        <rFont val="맑은 고딕"/>
        <family val="3"/>
        <charset val="129"/>
        <scheme val="minor"/>
      </rPr>
      <t xml:space="preserve">분기 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반기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연간 단위로 다음 지표를 예측하거나 주간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월간 단위로 지표를 리뷰하여 경향을 분석하는 기법</t>
    </r>
  </si>
  <si>
    <r>
      <t>K-</t>
    </r>
    <r>
      <rPr>
        <sz val="9.9"/>
        <rFont val="맑은 고딕"/>
        <family val="3"/>
        <charset val="129"/>
        <scheme val="minor"/>
      </rPr>
      <t xml:space="preserve">익명성의 동질설 문제나 배경지식을 이용하는 문제를 해결하기 위하여 익명성을 향상시키는 방법 </t>
    </r>
  </si>
  <si>
    <r>
      <t>L-</t>
    </r>
    <r>
      <rPr>
        <sz val="9.9"/>
        <rFont val="맑은 고딕"/>
        <family val="3"/>
        <charset val="129"/>
        <scheme val="minor"/>
      </rPr>
      <t>다양성</t>
    </r>
  </si>
  <si>
    <r>
      <t>T-</t>
    </r>
    <r>
      <rPr>
        <sz val="9.9"/>
        <rFont val="맑은 고딕"/>
        <family val="3"/>
        <charset val="129"/>
        <scheme val="minor"/>
      </rPr>
      <t>접근성</t>
    </r>
  </si>
  <si>
    <r>
      <t>데이터의 결측값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치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>을 채우거나 이상값을 제거하여 데이터 품질을 높이는 과정</t>
    </r>
  </si>
  <si>
    <r>
      <t xml:space="preserve">데이터의 결측값을 처리하는 방법 중 이것은 보통 </t>
    </r>
    <r>
      <rPr>
        <sz val="9.9"/>
        <rFont val="Arial"/>
        <family val="2"/>
      </rPr>
      <t>m</t>
    </r>
    <r>
      <rPr>
        <sz val="9.9"/>
        <rFont val="맑은 고딕"/>
        <family val="3"/>
        <charset val="129"/>
        <scheme val="minor"/>
      </rPr>
      <t xml:space="preserve">번 대체를 수행하고 그에 따른 </t>
    </r>
    <r>
      <rPr>
        <sz val="9.9"/>
        <rFont val="Arial"/>
        <family val="2"/>
      </rPr>
      <t>m</t>
    </r>
    <r>
      <rPr>
        <sz val="9.9"/>
        <rFont val="맑은 고딕"/>
        <family val="3"/>
        <charset val="129"/>
        <scheme val="minor"/>
      </rPr>
      <t>개의 자료가 생성되면 이를 각각 분석하는 방법이다</t>
    </r>
    <r>
      <rPr>
        <sz val="9.9"/>
        <rFont val="Arial"/>
        <family val="2"/>
      </rPr>
      <t xml:space="preserve">. </t>
    </r>
  </si>
  <si>
    <r>
      <t xml:space="preserve">시계열에 영향을 주는 일반적인 요인을 시계열에서 분리해 분석하는 방법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분석목적에 따라 특정 요인만 분리 분석하거나 제거하는 작업을 함</t>
    </r>
  </si>
  <si>
    <r>
      <t>성능이 약한 학습기를 여러 개 연결하여 순차적으로 학습하여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정답을 맞히지 못한 부분에 가중치를 부여함으로써 강한 학습기를 생성하는 앙상블 기법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모델의 정확성을 높이기 위해 오분류된 개체들에 가중치를 부여함으로써 새로운 분류규칙을 생성 및 반복하여 약한 분류 모델을 강한 분류모델로 변형하는 알고리즘</t>
    </r>
  </si>
  <si>
    <r>
      <t>적중확률</t>
    </r>
    <r>
      <rPr>
        <sz val="9.9"/>
        <rFont val="Arial"/>
        <family val="2"/>
      </rPr>
      <t>(Y</t>
    </r>
    <r>
      <rPr>
        <sz val="9.9"/>
        <rFont val="맑은 고딕"/>
        <family val="3"/>
        <charset val="129"/>
        <scheme val="minor"/>
      </rPr>
      <t>축</t>
    </r>
    <r>
      <rPr>
        <sz val="9.9"/>
        <rFont val="Arial"/>
        <family val="2"/>
      </rPr>
      <t xml:space="preserve">,True Positive Rate, Sensitivity) </t>
    </r>
    <r>
      <rPr>
        <sz val="9.9"/>
        <rFont val="맑은 고딕"/>
        <family val="3"/>
        <charset val="129"/>
        <scheme val="minor"/>
      </rPr>
      <t>대 오경보확률</t>
    </r>
    <r>
      <rPr>
        <sz val="9.9"/>
        <rFont val="Arial"/>
        <family val="2"/>
      </rPr>
      <t>(X</t>
    </r>
    <r>
      <rPr>
        <sz val="9.9"/>
        <rFont val="맑은 고딕"/>
        <family val="3"/>
        <charset val="129"/>
        <scheme val="minor"/>
      </rPr>
      <t>축</t>
    </r>
    <r>
      <rPr>
        <sz val="9.9"/>
        <rFont val="Arial"/>
        <family val="2"/>
      </rPr>
      <t>, False Positive Rate, 1- Specificity)</t>
    </r>
    <r>
      <rPr>
        <sz val="9.9"/>
        <rFont val="맑은 고딕"/>
        <family val="3"/>
        <charset val="129"/>
        <scheme val="minor"/>
      </rPr>
      <t xml:space="preserve">의 그래프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민감도와 특이도를 이용하여 분류 모델의 수준을 면적으로 표현하여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모델 평가를 가시화한 도구</t>
    </r>
  </si>
  <si>
    <r>
      <t xml:space="preserve">ROC </t>
    </r>
    <r>
      <rPr>
        <sz val="9.9"/>
        <rFont val="맑은 고딕"/>
        <family val="3"/>
        <charset val="129"/>
        <scheme val="minor"/>
      </rPr>
      <t>커브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그래프 </t>
    </r>
  </si>
  <si>
    <r>
      <t>문서의 키워드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개념 등을 직관적으로 파악할 수 있도록 핵심 단어를 시각적으로 돋보이게 하는 기법</t>
    </r>
  </si>
  <si>
    <r>
      <t>누구나 열람할 수 있는 디지털 장부에 거래 내역을 투명하게 기록하고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 xml:space="preserve">여러 대의 컴퓨터에 이를 복제해 저장하는 분산형 데이터 저장기술 </t>
    </r>
  </si>
  <si>
    <r>
      <t>새로운 모델을 만들 시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기존의 만들어진 모델을 사용하여 학습을 빠르게 하며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모델 성능을 높이는 방법은</t>
    </r>
    <r>
      <rPr>
        <sz val="9.9"/>
        <rFont val="Arial"/>
        <family val="2"/>
      </rPr>
      <t xml:space="preserve">? </t>
    </r>
  </si>
  <si>
    <r>
      <t>인간의 간섭을 가능한 최소한으로 하여 금융 서비스나 투자 관리를 온라인으로 제공하는 투자 자문역할의 일종이다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>수리적 규칙이나 알고리즘에 기반한 디지털 금융 서비스를 제공한다</t>
    </r>
    <r>
      <rPr>
        <sz val="9.9"/>
        <rFont val="Arial"/>
        <family val="2"/>
      </rPr>
      <t xml:space="preserve">. </t>
    </r>
  </si>
  <si>
    <r>
      <t>정규 분포의 평균을 측정할 때 주로 사용되는 분포로 모집단의 분산</t>
    </r>
    <r>
      <rPr>
        <sz val="9.9"/>
        <rFont val="Arial"/>
        <family val="2"/>
      </rPr>
      <t>(</t>
    </r>
    <r>
      <rPr>
        <sz val="9.9"/>
        <rFont val="맑은 고딕"/>
        <family val="3"/>
        <charset val="129"/>
        <scheme val="minor"/>
      </rPr>
      <t>혹은 표준편차</t>
    </r>
    <r>
      <rPr>
        <sz val="9.9"/>
        <rFont val="Arial"/>
        <family val="2"/>
      </rPr>
      <t>)</t>
    </r>
    <r>
      <rPr>
        <sz val="9.9"/>
        <rFont val="맑은 고딕"/>
        <family val="3"/>
        <charset val="129"/>
        <scheme val="minor"/>
      </rPr>
      <t>이 알려져 있지 않은 경우에 정규분포 대신 이용하는 확률분포는</t>
    </r>
    <r>
      <rPr>
        <sz val="9.9"/>
        <rFont val="Arial"/>
        <family val="2"/>
      </rPr>
      <t>?</t>
    </r>
  </si>
  <si>
    <r>
      <t>t-</t>
    </r>
    <r>
      <rPr>
        <sz val="9.9"/>
        <rFont val="맑은 고딕"/>
        <family val="3"/>
        <charset val="129"/>
        <scheme val="minor"/>
      </rPr>
      <t>분포</t>
    </r>
  </si>
  <si>
    <r>
      <t>F-</t>
    </r>
    <r>
      <rPr>
        <sz val="9.9"/>
        <rFont val="맑은 고딕"/>
        <family val="3"/>
        <charset val="129"/>
        <scheme val="minor"/>
      </rPr>
      <t>분포</t>
    </r>
  </si>
  <si>
    <t>Open API (Application Programming Interface)</t>
    <phoneticPr fontId="1" type="noConversion"/>
  </si>
  <si>
    <t>ETL(Extraction, Transformation and Load)</t>
    <phoneticPr fontId="1" type="noConversion"/>
  </si>
  <si>
    <r>
      <t>t-SNE(t-</t>
    </r>
    <r>
      <rPr>
        <sz val="9.9"/>
        <rFont val="맑은 고딕"/>
        <family val="3"/>
        <charset val="129"/>
        <scheme val="minor"/>
      </rPr>
      <t>분포 확률적 임베딩</t>
    </r>
    <r>
      <rPr>
        <sz val="9.9"/>
        <rFont val="Arial"/>
        <family val="2"/>
      </rPr>
      <t>, Stochastic Neighbor Embedding)</t>
    </r>
    <phoneticPr fontId="1" type="noConversion"/>
  </si>
  <si>
    <t>파생변수</t>
    <phoneticPr fontId="1" type="noConversion"/>
  </si>
  <si>
    <t>특잇값 분해 (Singular Value Decomposition, SVD)</t>
    <phoneticPr fontId="1" type="noConversion"/>
  </si>
  <si>
    <r>
      <t>(1)</t>
    </r>
    <r>
      <rPr>
        <sz val="9.9"/>
        <rFont val="맑은 고딕"/>
        <family val="3"/>
        <charset val="129"/>
        <scheme val="minor"/>
      </rPr>
      <t xml:space="preserve">채택역, </t>
    </r>
    <r>
      <rPr>
        <sz val="9.9"/>
        <rFont val="Arial"/>
        <family val="3"/>
      </rPr>
      <t>(2)</t>
    </r>
    <r>
      <rPr>
        <sz val="9.9"/>
        <rFont val="맑은 고딕"/>
        <family val="3"/>
        <charset val="129"/>
        <scheme val="minor"/>
      </rPr>
      <t>기각역</t>
    </r>
    <r>
      <rPr>
        <sz val="9.9"/>
        <rFont val="Arial"/>
        <family val="2"/>
      </rPr>
      <t xml:space="preserve"> </t>
    </r>
    <phoneticPr fontId="1" type="noConversion"/>
  </si>
  <si>
    <r>
      <t>(1)</t>
    </r>
    <r>
      <rPr>
        <sz val="9.9"/>
        <rFont val="맑은 고딕"/>
        <family val="3"/>
        <charset val="129"/>
        <scheme val="minor"/>
      </rPr>
      <t>오차</t>
    </r>
    <r>
      <rPr>
        <sz val="9.9"/>
        <rFont val="Arial"/>
        <family val="2"/>
      </rPr>
      <t>, (2)</t>
    </r>
    <r>
      <rPr>
        <sz val="9.9"/>
        <rFont val="맑은 고딕"/>
        <family val="2"/>
        <charset val="129"/>
      </rPr>
      <t>잔차</t>
    </r>
    <phoneticPr fontId="1" type="noConversion"/>
  </si>
  <si>
    <t xml:space="preserve">자기조직화지도 (SOM, Self Organizing Maps) </t>
    <phoneticPr fontId="1" type="noConversion"/>
  </si>
  <si>
    <t>디자인 사고 (Design Thinking)</t>
    <phoneticPr fontId="1" type="noConversion"/>
  </si>
  <si>
    <r>
      <t xml:space="preserve">크기가 같은 표본을 여러 번 단순임의 복원 추출하여 분류기를 생선한 후 앙상블하는 기법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 xml:space="preserve">모델의 안정성을 높이기 위하여 분석 데이터로부터 여러 개의 단순 복원 임의 추출하여 다수결을 통해 최종의 예측 모델을 도출하는 알고리즘 </t>
    </r>
    <r>
      <rPr>
        <sz val="9.9"/>
        <rFont val="Arial"/>
        <family val="2"/>
      </rPr>
      <t xml:space="preserve">/ </t>
    </r>
    <r>
      <rPr>
        <sz val="9.9"/>
        <rFont val="맑은 고딕"/>
        <family val="3"/>
        <charset val="129"/>
        <scheme val="minor"/>
      </rPr>
      <t>각각의 분류기가 모두 같은 유형의 알고리즘 기반이지만</t>
    </r>
    <r>
      <rPr>
        <sz val="9.9"/>
        <rFont val="Arial"/>
        <family val="2"/>
      </rPr>
      <t xml:space="preserve">, </t>
    </r>
    <r>
      <rPr>
        <sz val="9.9"/>
        <rFont val="맑은 고딕"/>
        <family val="3"/>
        <charset val="129"/>
        <scheme val="minor"/>
      </rPr>
      <t>데이터 샘플링을 서로 다르게 가져가면서 학습을 수행해 보팅을 수행하는 것</t>
    </r>
    <phoneticPr fontId="1" type="noConversion"/>
  </si>
  <si>
    <t>데이터 마트 (Data Mart)</t>
    <phoneticPr fontId="1" type="noConversion"/>
  </si>
  <si>
    <t>SVM (Soft Vector Machine)</t>
    <phoneticPr fontId="1" type="noConversion"/>
  </si>
  <si>
    <r>
      <t>Apache Sqoop (</t>
    </r>
    <r>
      <rPr>
        <sz val="9.9"/>
        <rFont val="맑은 고딕"/>
        <family val="2"/>
        <charset val="129"/>
      </rPr>
      <t>스쿱</t>
    </r>
    <r>
      <rPr>
        <sz val="9.9"/>
        <rFont val="Arial"/>
        <family val="2"/>
      </rPr>
      <t>)</t>
    </r>
    <phoneticPr fontId="1" type="noConversion"/>
  </si>
  <si>
    <r>
      <t>Chukwa (</t>
    </r>
    <r>
      <rPr>
        <sz val="9.9"/>
        <rFont val="맑은 고딕"/>
        <family val="3"/>
        <charset val="129"/>
        <scheme val="minor"/>
      </rPr>
      <t>척와</t>
    </r>
    <r>
      <rPr>
        <sz val="9.9"/>
        <rFont val="Arial"/>
        <family val="2"/>
      </rPr>
      <t>)</t>
    </r>
    <phoneticPr fontId="1" type="noConversion"/>
  </si>
  <si>
    <r>
      <t>Apache Flume (</t>
    </r>
    <r>
      <rPr>
        <sz val="9.9"/>
        <rFont val="맑은 고딕"/>
        <family val="2"/>
        <charset val="129"/>
      </rPr>
      <t>플럼</t>
    </r>
    <r>
      <rPr>
        <sz val="9.9"/>
        <rFont val="Arial"/>
        <family val="2"/>
      </rPr>
      <t>)</t>
    </r>
    <phoneticPr fontId="1" type="noConversion"/>
  </si>
  <si>
    <r>
      <t>Apache Kafka (</t>
    </r>
    <r>
      <rPr>
        <sz val="9.9"/>
        <rFont val="맑은 고딕"/>
        <family val="2"/>
        <charset val="129"/>
      </rPr>
      <t>카프카</t>
    </r>
    <r>
      <rPr>
        <sz val="9.9"/>
        <rFont val="Arial"/>
        <family val="2"/>
      </rPr>
      <t>)</t>
    </r>
    <phoneticPr fontId="1" type="noConversion"/>
  </si>
  <si>
    <r>
      <t>k-</t>
    </r>
    <r>
      <rPr>
        <sz val="9.9"/>
        <rFont val="맑은 고딕"/>
        <family val="3"/>
        <charset val="129"/>
        <scheme val="minor"/>
      </rPr>
      <t>평균 군집화</t>
    </r>
    <r>
      <rPr>
        <sz val="9.9"/>
        <rFont val="Arial"/>
        <family val="2"/>
      </rPr>
      <t xml:space="preserve"> </t>
    </r>
    <r>
      <rPr>
        <sz val="9.9"/>
        <rFont val="맑은 고딕"/>
        <family val="2"/>
        <charset val="129"/>
      </rPr>
      <t>알고리즘</t>
    </r>
    <phoneticPr fontId="1" type="noConversion"/>
  </si>
  <si>
    <t>사물인터넷 (Internet of Things, IoT)</t>
    <phoneticPr fontId="1" type="noConversion"/>
  </si>
  <si>
    <t>자기회귀모형 (AutoRegressive,AR모형)</t>
    <phoneticPr fontId="1" type="noConversion"/>
  </si>
  <si>
    <t>이동평균모형 (Moving Average, MA모형)</t>
    <phoneticPr fontId="1" type="noConversion"/>
  </si>
  <si>
    <t>자기회귀누적 이동평균모형 (AutoRegressive Integrated Moving Average, ARIMA모형)</t>
    <phoneticPr fontId="1" type="noConversion"/>
  </si>
  <si>
    <t>데이터 호수 (Data Lake)</t>
    <phoneticPr fontId="1" type="noConversion"/>
  </si>
  <si>
    <t>워드 클라우드 (Word Cloud)</t>
    <phoneticPr fontId="1" type="noConversion"/>
  </si>
  <si>
    <t>BI(Business Intelligence)</t>
    <phoneticPr fontId="1" type="noConversion"/>
  </si>
  <si>
    <t>로보 어드바이저 (Robo Advisor)</t>
    <phoneticPr fontId="1" type="noConversion"/>
  </si>
  <si>
    <t>어노테이션 (Annotation)</t>
    <phoneticPr fontId="1" type="noConversion"/>
  </si>
  <si>
    <r>
      <t>가설 검정에서 사용된 샘플 데이터로부터 계산된 표본 통계량</t>
    </r>
    <r>
      <rPr>
        <sz val="9.9"/>
        <rFont val="Arial"/>
        <family val="2"/>
      </rPr>
      <t xml:space="preserve">. </t>
    </r>
    <r>
      <rPr>
        <sz val="9.9"/>
        <rFont val="맑은 고딕"/>
        <family val="3"/>
        <charset val="129"/>
        <scheme val="minor"/>
      </rPr>
      <t xml:space="preserve">이것으로 </t>
    </r>
    <r>
      <rPr>
        <sz val="9.9"/>
        <rFont val="Arial"/>
        <family val="2"/>
      </rPr>
      <t>P-value</t>
    </r>
    <r>
      <rPr>
        <sz val="9.9"/>
        <rFont val="맑은 고딕"/>
        <family val="3"/>
        <charset val="129"/>
        <scheme val="minor"/>
      </rPr>
      <t xml:space="preserve">를 계산하며 귀무가설을 기각할 것인지 판별하며 </t>
    </r>
    <phoneticPr fontId="1" type="noConversion"/>
  </si>
  <si>
    <t>로지스틱 회귀분석에서 어떠한 일이 일어날 확률을 일어나지 않을 확률로 나누어 log를 취하고 이를 0~1의 값이 아닌 (-무한대, 무한대) 범위에서 선형함수를 시그모이드 함수로 변환하는 방법은 무엇인가?</t>
  </si>
  <si>
    <t xml:space="preserve">표본평균들의 표준편차 </t>
    <phoneticPr fontId="1" type="noConversion"/>
  </si>
  <si>
    <t>표준 오차</t>
    <phoneticPr fontId="1" type="noConversion"/>
  </si>
  <si>
    <t>정규 분포의 평균을 측정할 때 주로 사용되는 분포로 모집단의 분산(혹은 표준편차)이 알려져 있지 않은 경우에 정규분포 대신 이용하는 확률분포는?</t>
  </si>
  <si>
    <t>시계열 분석에서는 주어진 자료가 정상성을 만족해야 한다. 비정상시계열을 정상시계열 자료로 바꾸기 위해, 평균이 일정하지 않은 경우 현시점에서 이전 시점의 자료를 빼는 방법을 무엇이라고 하는가?</t>
  </si>
  <si>
    <t>차분</t>
    <phoneticPr fontId="1" type="noConversion"/>
  </si>
  <si>
    <t>기업의 합리적인 의사결정을 방해하는 요소로서 문제의 표현 방식에 따라 동일한 사건이나 상황임에도 불구하고 개인의 판단이나 선택이 달리질 수 있는 현상을 무엇이라고 하는가?</t>
    <phoneticPr fontId="1" type="noConversion"/>
  </si>
  <si>
    <t>프레이밍 효과</t>
    <phoneticPr fontId="1" type="noConversion"/>
  </si>
  <si>
    <t>표본 추출 방법 중 질적인 원소들로 구성된 모집단에서 각 계층을 고루 대표할 수 있도록 표본을 추출하는 방법으로 유사한 원소끼리 몇개의 층으로 나누어 각 층에서 랜덤 추출 하는 방법은 무엇인가?</t>
  </si>
  <si>
    <t>층화 추출법</t>
    <phoneticPr fontId="1" type="noConversion"/>
  </si>
  <si>
    <t>모집단을 여러 군집으로 나누고, 일부 군집의 전체 또는 일부를 추출하는 방식, 내부적으로는 이질적, 외부적으로는 동질적인 방법</t>
    <phoneticPr fontId="1" type="noConversion"/>
  </si>
  <si>
    <t>군집 추출법 (집락추출)</t>
    <phoneticPr fontId="1" type="noConversion"/>
  </si>
  <si>
    <t xml:space="preserve">군집 타당성 지표(Clustering Validity Index) 중의 하나로 군집 내의 데이터 응집도(cohesion)와 군집간 분리도(separation)를 계산하며 계산된 결과는 -1에서 1 사이의 값을 가지고, 군집 분석이 잘 된 경우 1에 가까운 값을 가지는 지표는 무엇인가? </t>
    <phoneticPr fontId="1" type="noConversion"/>
  </si>
  <si>
    <t>실루엣</t>
    <phoneticPr fontId="1" type="noConversion"/>
  </si>
  <si>
    <t>가지치기</t>
    <phoneticPr fontId="1" type="noConversion"/>
  </si>
  <si>
    <t>의사결정나무의 형성 과정 중 끝마디가 너무 많을 경우, 모형이 과대 적합되어 현실 문제에 적용할 수 있는 적절한 규칙이 나오지 않게 되는 문제가 발생한다. 따라서 분류된 관측치의 비율 또는 MSE등을 교려하여 적절한 수준의 (     )규칙을 제공해 주어야한다.</t>
    <phoneticPr fontId="1" type="noConversion"/>
  </si>
  <si>
    <t>의사결정나무의 형성 과정 중 더 이상 분리가 일어나지 않도록 현재 마디가 끝마디가 되도록 하는 규칙으로 의사결정나무의 깊이를 지정, 끝마디의 레코드 수의 최소 개수를 지정하는 것은 무엇인가?</t>
    <phoneticPr fontId="1" type="noConversion"/>
  </si>
  <si>
    <t>정지규칙</t>
    <phoneticPr fontId="1" type="noConversion"/>
  </si>
  <si>
    <t>인공신경망에서 가중치 매개변수 기울기를 미분으로 계산하면 시간 소모가 크다. 이를 개선하여 오차를 출력층에서 입력층으로 전달하고, 연쇄법칙을 활용하여 역전파를 통해 가중치와 편향을 갱신하는 것은 무엇인가?</t>
    <phoneticPr fontId="1" type="noConversion"/>
  </si>
  <si>
    <t>오차역전파</t>
    <phoneticPr fontId="1" type="noConversion"/>
  </si>
  <si>
    <t>코호넨에 의해 제시된 비지도 신경망으로 고차원의 데이터를 이해하기 쉬운 저차원의 뉴런으로 정렬하여 지도의 형태로 형상화한 군집분석방법은 무엇인가?</t>
    <phoneticPr fontId="1" type="noConversion"/>
  </si>
  <si>
    <t>SOM</t>
    <phoneticPr fontId="1" type="noConversion"/>
  </si>
  <si>
    <t>사용자가 다차원으로 이루어진 정보에 직접 접근하여 대화식으로 정보를 분석하고 의사결정에 활용하는 시스템은 무엇인가?</t>
  </si>
  <si>
    <t>OLAP</t>
  </si>
  <si>
    <t>기업이 외부 공급업체 또는 제휴업체와 통합된 정보시스템으로 연계하여 시간과 비용을 최적화시키기 위한 것으로, 자재구매, 생산/재고, 유통/판매, 고객데이터로 구성되는 정보시스템</t>
    <phoneticPr fontId="1" type="noConversion"/>
  </si>
  <si>
    <t>SCM (Supply Chain Management)</t>
    <phoneticPr fontId="1" type="noConversion"/>
  </si>
  <si>
    <t>CRM(Customer Relationship Management)</t>
    <phoneticPr fontId="1" type="noConversion"/>
  </si>
  <si>
    <t>기업의 내부 데이터로써 소비자들을 자신의 고객으로 만들 고, 이를 장기간 유지하고자 내부 정보를 분석하고 저장하는 데 사용하는 정보시스템</t>
    <phoneticPr fontId="1" type="noConversion"/>
  </si>
  <si>
    <t>회귀모형의 계수를 추정하는 방법으로 잔차의 제곱합을 최소화하는 계수를 찾는 방법을 무엇이라고 하는가?</t>
    <phoneticPr fontId="1" type="noConversion"/>
  </si>
  <si>
    <t>최소제곱법</t>
    <phoneticPr fontId="1" type="noConversion"/>
  </si>
  <si>
    <t>인공신경망 학습에서 최적의 가중치 매개변수 값을 찾기 위한 지표로 이것을 사용한다./인공신경망의 학습은 이것이 최소가 되도록 하기 위해 가중치와 편향을 찾는 것이다./출력한 값과 실제 값과의 오차에 대한 함수이다./이것으로 평균제곱오차 또는 교차엔트로피 오차를 활용한다./  무엇에 대한 설명인가?</t>
    <phoneticPr fontId="1" type="noConversion"/>
  </si>
  <si>
    <t>손실함수</t>
    <phoneticPr fontId="1" type="noConversion"/>
  </si>
  <si>
    <t>원 데이터 집합으로부터 크기가 같은 표본을 여러번 단순 임의 복원추출하여 각 표본에 대해 분류기(classifiers)를 생성한 후 그 결과를 앙상블하는 기법이다./무엇에 대한 설명인가?</t>
    <phoneticPr fontId="1" type="noConversion"/>
  </si>
  <si>
    <t>배깅</t>
    <phoneticPr fontId="1" type="noConversion"/>
  </si>
  <si>
    <t>배깅의 과정과 유사하나 부트스트랩 표본을 구성하는 재표본(re-sampling) 과정에서 각 자료에 동일한 확률을 부여하는 것이 아니라, 분류가 잘못된 데이터에 더 큰 가중을 주어 표본을 추출하는 기법</t>
    <phoneticPr fontId="1" type="noConversion"/>
  </si>
  <si>
    <t>부스팅</t>
    <phoneticPr fontId="1" type="noConversion"/>
  </si>
  <si>
    <t>스테밍</t>
    <phoneticPr fontId="1" type="noConversion"/>
  </si>
  <si>
    <t>텍스트 마이닝의 전처리 과정에서 어형이 변형된 단어로부터 접사등을 제거하고 그 단어의 원형 또는 어간을 | 분리해 내는 것을 무엇이라고 하는가?</t>
    <phoneticPr fontId="1" type="noConversion"/>
  </si>
  <si>
    <t>실제로 ‘부정’인 범주 중에서 ‘부정’으로 올바르게 예측한 비율로 TN/(TN+FP)의 계산식을 갖는 혼동행렬 지표는 무엇인가?</t>
    <phoneticPr fontId="1" type="noConversion"/>
  </si>
  <si>
    <t>특이도, 참 부정률</t>
    <phoneticPr fontId="1" type="noConversion"/>
  </si>
  <si>
    <t>민감도</t>
    <phoneticPr fontId="1" type="noConversion"/>
  </si>
  <si>
    <t>거짓 긍정률</t>
    <phoneticPr fontId="1" type="noConversion"/>
  </si>
  <si>
    <t>정밀도</t>
    <phoneticPr fontId="1" type="noConversion"/>
  </si>
  <si>
    <t>실제로 ‘긍정’인 범주 중에서 ‘긍정’으로 올바르게 예측(TP)한 비율/ TP/(TP+FN)</t>
    <phoneticPr fontId="1" type="noConversion"/>
  </si>
  <si>
    <t>실제로 ‘부정’인 범주 중에서 ‘긍정’으로 잘못 예측(FP)한 비율/ FP/(TN+FP)</t>
    <phoneticPr fontId="1" type="noConversion"/>
  </si>
  <si>
    <t>‘긍정’으로 예측한 비율 중에서 실제로 ‘긍정’(TP)인 비율/ TP/(TP+FP)</t>
    <phoneticPr fontId="1" type="noConversion"/>
  </si>
  <si>
    <t>독립변수들간에 높은 선형관계가 존재할 때 발생하는 문제이다.  - 회귀분석에서 결정계수값이 높아 회귀식의 설명력은 높지만, 각 독립변수의 P-값(P-value)이 커서 개별 인자들이 유의하지 않는 경우 이 문제가 발생할 수 있다. - 분산팽창요인(Variance Inflation Factor,VIF)이 10을 넘는 경우 발생하는 문제이다. - 상관관계가 높은 독립변수중 하나 혹은 일부를 제거하여 이 문제를 해결한다. - 주성분분석(PCA) 방법을 이용하여 설명력이 높은 변수를 선택하여 이 문제를 해결한다. 다음이 설명하는 것은</t>
    <phoneticPr fontId="1" type="noConversion"/>
  </si>
  <si>
    <t>다중공선성</t>
    <phoneticPr fontId="1" type="noConversion"/>
  </si>
  <si>
    <t>군집 내의 오차 제곱합(Error Sum of Square)에 기초하여 군집을 수행하는 방법으로 군집의 병합으로 인한 오차 제곱 합의 증가량이 최소가 되는 방향으로 군집을 형성하는 군집 간 거리측정 방법은 무엇인가 ?</t>
    <phoneticPr fontId="1" type="noConversion"/>
  </si>
  <si>
    <t>와드연결법</t>
    <phoneticPr fontId="1" type="noConversion"/>
  </si>
  <si>
    <t>ESD(Extreme Studentized Deviation)</t>
    <phoneticPr fontId="1" type="noConversion"/>
  </si>
  <si>
    <t>평균으로부터 t standard deviateion 만큼 떨어져 있는 값들을 이상값으로 판단하고 t를 3으로 하는 이상값 검색 알고리즘은 무엇인가?</t>
    <phoneticPr fontId="1" type="noConversion"/>
  </si>
  <si>
    <t>향상도(Lift)</t>
    <phoneticPr fontId="1" type="noConversion"/>
  </si>
  <si>
    <t>전체 거래 중 항목 A와 B를 동시에 포함하는 거래의 비율</t>
    <phoneticPr fontId="1" type="noConversion"/>
  </si>
  <si>
    <t>A 상품을 샀을 때 B 상품을 살 조건부 확률에 대한 척도</t>
    <phoneticPr fontId="1" type="noConversion"/>
  </si>
  <si>
    <t>연관성 분석에서 규칙이 우연에 의해 발생한 것인지를 판단하기 위해 연관 규칙 내 항목의 연관성 정도를 측정하는 척도는 무엇인가? / A가 주어지지 않았을 때 B의 확률 대비 A가 주어졌을 때 B의 확률 증가 비율</t>
    <phoneticPr fontId="1" type="noConversion"/>
  </si>
  <si>
    <t>지지도</t>
    <phoneticPr fontId="1" type="noConversion"/>
  </si>
  <si>
    <t>신뢰도</t>
    <phoneticPr fontId="1" type="noConversion"/>
  </si>
  <si>
    <t xml:space="preserve"> (         )은/는 사용자의 의사결정에 도움을 주기 위하여, 기간 시스템의 데이터베이스에 축적된 데이터를 공통 형식으로 변환해서 관리하는 데이터베이스이다.</t>
    <phoneticPr fontId="1" type="noConversion"/>
  </si>
  <si>
    <t>시간이 지날수록 관측치의 평균값이 지속적으로 증가하거나 감소하는 시계열 모형으로 주기나 불규칙성을 가지고 있는 시계열 데이터의 특성을 토대로 과거의 몇 개 관측치를 평균하여 전반적인 추세를 파악할 수 있는 시계열 모형은 무엇인가?</t>
    <phoneticPr fontId="1" type="noConversion"/>
  </si>
  <si>
    <t>이동평균모형(Moving Average Model)</t>
    <phoneticPr fontId="1" type="noConversion"/>
  </si>
  <si>
    <t>KNN</t>
    <phoneticPr fontId="1" type="noConversion"/>
  </si>
  <si>
    <t>다음이 설명하는 빈발항목집합(frequent itemsets) 및 연관규칙분석을 위한 알고리즘은 무엇인가? - 가능한 모든 경우의 수를 탐색하는 방식을 개선하기 위하여 데이터들의 발생 빈도가 높은 것을 찾는 알고리즘</t>
    <phoneticPr fontId="1" type="noConversion"/>
  </si>
  <si>
    <t>아프리오리(A Priori) 알고리즘</t>
    <phoneticPr fontId="1" type="noConversion"/>
  </si>
  <si>
    <t>새로운 데이터 클래스를 해당 데이터와 가장 가까운 개 데이터들의 클래스로 분류하는 알고리즘으로, 특정 데이터에서 가까운 개의 데이터의 거리를 구할 때 거리 유클리디안 거리, 맨하탄 거리, 민코우스키 거리 등을 사용할 수 있는 기법은 무엇인가?</t>
    <phoneticPr fontId="1" type="noConversion"/>
  </si>
  <si>
    <t>서포트 벡터 머신에서 완벽한 분리가 불가능할 때 선형적으로 분류를 위해 허용된 오차를 위한 변수를 무엇이라 하는가?</t>
    <phoneticPr fontId="1" type="noConversion"/>
  </si>
  <si>
    <t>슬랙 변수 (Slack Variable)</t>
    <phoneticPr fontId="1" type="noConversion"/>
  </si>
  <si>
    <t>혼동 행렬의 평가 지표 중에서 실제 '부정'인 범주 중에서 '부정으로' 올바르게 예측한 비율은 무엇인가?</t>
    <phoneticPr fontId="1" type="noConversion"/>
  </si>
  <si>
    <t>(          )은/는 추가 정보의 사용 없이 특정 개인을 알아볼 수 없게 조치한 정보이다.</t>
    <phoneticPr fontId="1" type="noConversion"/>
  </si>
  <si>
    <t>가명정보</t>
    <phoneticPr fontId="1" type="noConversion"/>
  </si>
  <si>
    <t>전체 데이터를 비복원 추출 방법을 이용하여 랜덤하게 Training Set, Test Set으로 분리하여 교차 검정을 실시하는 기법</t>
  </si>
  <si>
    <t>전체 데이터를 비복원 추출 방법을 이용하여 랜덤하게 Training Set, Test Set으로 분리하여 교차 검정을 실시하는 기법</t>
    <phoneticPr fontId="1" type="noConversion"/>
  </si>
  <si>
    <t>홀드 아웃 교차 검증</t>
    <phoneticPr fontId="1" type="noConversion"/>
  </si>
  <si>
    <t>X 값이 0보다 큰 경우 Y 값도 지속적으로 증가하고 X값이 0보다 작은 경우 인, 시그모이드의 사라지는 경사 현상 문 |제를 해결하는 활성화 함수는 무엇인가?</t>
    <phoneticPr fontId="1" type="noConversion"/>
  </si>
  <si>
    <t>ReLU</t>
    <phoneticPr fontId="1" type="noConversion"/>
  </si>
  <si>
    <t xml:space="preserve">다음이 설명하는 연속형 변수의 거리는 무엇인가? - m차원 공간을 일반화한 거리이다.   이 공간에서는 일반적인 3차원의 공간과 1차원의 시간을 조합하여 4차원을 표현한다.- m=1일 때 맨하탄 거리와 같고 m=2일 때 유클리드 거리와 같다.- m이 정수가 아니어도 되지만 반드시 1보다 커야 한다. </t>
    <phoneticPr fontId="1" type="noConversion"/>
  </si>
  <si>
    <t>민코프스키(Minkowski) 거리</t>
    <phoneticPr fontId="1" type="noConversion"/>
  </si>
  <si>
    <t>마할라노비스 거리</t>
    <phoneticPr fontId="1" type="noConversion"/>
  </si>
  <si>
    <t xml:space="preserve"> 변수의 표준화와 함께 변수 간의 상관성(분포 형태)를 동시에 고려한 통계적 거리입니다.</t>
    <phoneticPr fontId="1" type="noConversion"/>
  </si>
  <si>
    <t>변수의 측정단위를 표준화한 거리입니다</t>
    <phoneticPr fontId="1" type="noConversion"/>
  </si>
  <si>
    <t>표준화 거리</t>
    <phoneticPr fontId="1" type="noConversion"/>
  </si>
  <si>
    <t>데이터 분석을 위한 데이터를 데이터 저장소인 DW(Data Warehouse) 및 DM(Data Mart)으로 이동시키기 위해 다양한 소스 시스템으로부터 필요한 원본 데이터를 추출하고 변환하여 적장하는 기술은 무엇인가?</t>
    <phoneticPr fontId="1" type="noConversion"/>
  </si>
  <si>
    <t>(       )은/는 사용자의 의사결정에 도움을 주기 위하여 기간 시스템의 데이터베이스에 축적된 데이터를 공통 형식으로 변환해서 관리하는 데이터베이스이다.- 다양한 데이터 소스(Data source)로부터 데이터를 수집하여 ETL 과정을 거쳐 (       )에 저장한다.</t>
    <phoneticPr fontId="1" type="noConversion"/>
  </si>
  <si>
    <t>드롭아웃</t>
    <phoneticPr fontId="1" type="noConversion"/>
  </si>
  <si>
    <t>인공 신경망을 학습하는 데에 있어 은닉층 안의 일부 노드를 강제로 사용하지 않는 과정을 통해 과대 적합을 방지할 수 있는 기법</t>
    <phoneticPr fontId="1" type="noConversion"/>
  </si>
  <si>
    <t>소수 클래스에서 중심이 되는 데이터와 주변 데이터 사이에 가상의 직선을 만든 후, 그 위에 데이터를 추가하는 ​과대 표집(Over-Sampling) 방법은 무엇인가?</t>
    <phoneticPr fontId="1" type="noConversion"/>
  </si>
  <si>
    <t>SMOTE</t>
    <phoneticPr fontId="1" type="noConversion"/>
  </si>
  <si>
    <t xml:space="preserve">다음 괄호( ) 안에 들어갈 데이터 수집 기술은 무엇인가? - 공공데이터는 공공데이터 포털의 (   ) 또는 파일을 통해 수집한다. - (   )은/는 누구나 사용할 수 있도록 공개된 응용 프로그램 인터페이스이다.- (   )은/는 응용 프로그램을 통해 실시간으로 데이터를 수신할 수는 데이터 수집 기술이다.- 응용 프로그램 개발 시 외부 서비스가 ( )으로/로 제공되면 쉽게 연계할 수 있다.  예를 들어 날씨 정보, 항공 정보, 금융 정보 등과 관련된 최신 정보를 응용 프로그램에서 활용할 수 있다. </t>
    <phoneticPr fontId="1" type="noConversion"/>
  </si>
  <si>
    <t>(              )은/는 변수상에서 발생한 결측값이 다른 변수들과 아무런 상관이 없는 경우의 결측값이다.</t>
    <phoneticPr fontId="1" type="noConversion"/>
  </si>
  <si>
    <t>완전 무작위 결측(MCAR; Missing Completely At Random)</t>
    <phoneticPr fontId="1" type="noConversion"/>
  </si>
  <si>
    <t>전통적인 RDBMS와 다른 DBMS를 지칭하기 위한 용어로 데이터 저장에 고정된 테이블 스키마가 필요하지 않고 조인(Join) 연산을 사용할 수 없으며, 대규모 데이터를 저장할 수 있고, HBase, Cassandra 등의 제품이 있는 저장 기술은 무엇인가?</t>
    <phoneticPr fontId="1" type="noConversion"/>
  </si>
  <si>
    <t>NoSQL(Not Only SQL)</t>
    <phoneticPr fontId="1" type="noConversion"/>
  </si>
  <si>
    <t>시계열 분석을 위해서는 만족해야 특성으로 시점에 상관없이 시계열의 특성이 일정하다는 성질은 무엇인가? (평균이 일정하고, 분산이 시점에 의존하지 않고, 공분산은 단지 시차에만 의존하고 시점 자체에는 의존하지 않는 특성 을 가진다.)</t>
    <phoneticPr fontId="1" type="noConversion"/>
  </si>
  <si>
    <t>정상성</t>
    <phoneticPr fontId="1" type="noConversion"/>
  </si>
  <si>
    <t>인터넷상에서 제공되는 다양한 웹 사이트로부터 소셜 네트워크 정보, 뉴스, 게시판 등의 웹 문서 및 콘텐츠 수집 기술</t>
    <phoneticPr fontId="1" type="noConversion"/>
  </si>
  <si>
    <t>· 자료 그 자체가 아닌 자료의 속성 등을 설명하는 데이터이다. • 대표적으로 데이터에 관한 정보의 기술, 데이터 구성 의 정의, 데이터 분류 등을 위한 데이터 등이 있다.</t>
    <phoneticPr fontId="1" type="noConversion"/>
  </si>
  <si>
    <t>차원이 증가할수록 데이터의 분포 분석 또는 모델 추 정에 필요한 샘플 데이터의 개수가 기하급수적으로 증가 하게 되는 현상은 무엇인가?</t>
    <phoneticPr fontId="1" type="noConversion"/>
  </si>
  <si>
    <t>()은 는 평균대치법에서 관측된 자료를 토대로 추정된 통계량으로 결측값을 대치할 때 어떤 적 절한 확률을 부여한 후 대치하는 방법이다. (  )의 종류에는 핫덱 대체, 콜드덱 대체, 혼합방법이 있다.</t>
  </si>
  <si>
    <t>()은 는 평균대치법에서 관측된 자료를 토대로 추정된 통계량으로 결측값을 대치할 때 어떤 적 절한 확률을 부여한 후 대치하는 방법이다. (  )의 종류에는 핫덱 대체, 콜드덱 대체, 혼합방법이 있다.</t>
    <phoneticPr fontId="1" type="noConversion"/>
  </si>
  <si>
    <t>• 각 독립변수를 이분화하는 과정을 반복하여 이진 트 리 형태를 형성함으로써 분류를 수행하는 알고리즘 이다. • 가장 성취도가 좋은 변수 및 수준을 찾는 것에 중점을 둔다. • 개별 입력변수뿐만 아니라 독립변수들의 선형 결합 중에서 최적의 분리를 구할 수 있다.</t>
    <phoneticPr fontId="1" type="noConversion"/>
  </si>
  <si>
    <t>()은/는 모형을 세운 뒤 관찰 가능한 데이터 를 이용하여 해당 잠재 요인을 도출하고 데이터 안의 구조를 해석하는 기법이다. ( )은는 데이터 안에 관찰할 수 없는 잠재적 인 변수(Latent Variable)가 존재한다고 가정한다.</t>
    <phoneticPr fontId="1" type="noConversion"/>
  </si>
  <si>
    <t>( )은 는 분류에 따른 변화를 최대, 최소, 전체 분포 등으로 구분하는 방법으로 전체에서 부분 간 관 계를 설명한다. ( )에는 파이 차트, 도넛 차트, 트리랩, 누적 영 역 차트가 있다.</t>
    <phoneticPr fontId="1" type="noConversion"/>
  </si>
  <si>
    <t>잔차의 분산이 독립변수와 무관하게 일정해야 한다는 특징은 무엇인가?</t>
    <phoneticPr fontId="1" type="noConversion"/>
  </si>
  <si>
    <t>모형을 가장 많이 향상시키는 변수를 하나씩 점진적 추가하는 전진 선택과 모두 포함된 상태에서 시작하여 가장 적은 영향을 주는 변수부터 하나씩 제거하는 후진 소거를 함께 사용하는 방법은 무엇인가?</t>
    <phoneticPr fontId="1" type="noConversion"/>
  </si>
  <si>
    <t>다음은 K-평균 군집의 k 값 선정 기법에 대한 설명이 2 괄호( )안에 알맞은 기법을 쓰시오. ()은는 클러스터 내 오차제곱합이 최소가 되도록 클러스터의 중심을 결정해 나가는 방법이다. ()은/는 클러스터 개수를 늘렸을 때 중심 간 의 평균 거리가 더 이상 많이 감소하지 않는 경우의 k를 선택한다.</t>
    <phoneticPr fontId="1" type="noConversion"/>
  </si>
  <si>
    <t>크롤링</t>
    <phoneticPr fontId="1" type="noConversion"/>
  </si>
  <si>
    <t>메타데이터</t>
    <phoneticPr fontId="1" type="noConversion"/>
  </si>
  <si>
    <t>차원의 저주</t>
    <phoneticPr fontId="1" type="noConversion"/>
  </si>
  <si>
    <t>요인분석</t>
    <phoneticPr fontId="1" type="noConversion"/>
  </si>
  <si>
    <t>CART 알고리즘</t>
    <phoneticPr fontId="1" type="noConversion"/>
  </si>
  <si>
    <t>단순 확률 대치법</t>
    <phoneticPr fontId="1" type="noConversion"/>
  </si>
  <si>
    <t>분포 시각화</t>
    <phoneticPr fontId="1" type="noConversion"/>
  </si>
  <si>
    <t>등분산성</t>
    <phoneticPr fontId="1" type="noConversion"/>
  </si>
  <si>
    <t>단계적 선택법</t>
    <phoneticPr fontId="1" type="noConversion"/>
  </si>
  <si>
    <t>엘보우 기법</t>
    <phoneticPr fontId="1" type="noConversion"/>
  </si>
  <si>
    <t>수제비 카페</t>
    <phoneticPr fontId="1" type="noConversion"/>
  </si>
  <si>
    <t>()은 는 모델 내부에서 확인이 가능한 변수로 데이터를 통해서 산출이 가능한 값이다. ()은/는 측정되거나 데이터로부터 학습되고 주로 사람에 의해 수작업으로 측정되지 않는다.</t>
    <phoneticPr fontId="1" type="noConversion"/>
  </si>
  <si>
    <t>()은/는 정답인 레이블(Label)이 포함되어 있는 훈련 데이터와 레이블(Label)이 없는 훈련 데이터 를 모두 훈련에 사용하는 학습 방법이다. /'레이블이 일부만 있어도 데이터를 다룰 수 있다./ 일반적으로 정답인 레이블이 포함된 훈련 데이터가 적고 정답인 레이블이 없는 훈련 데이터를 많이 갖고 있다.</t>
    <phoneticPr fontId="1" type="noConversion"/>
  </si>
  <si>
    <t>( )는 정형, 반정형, 비정형 데이터를 비롯한 모든 가공되지 않은 다양한 종류의 데이터 (raw data) 를 저장할 수 있는 시스템 또는 중앙집중식 데이터 저장소이다</t>
    <phoneticPr fontId="1" type="noConversion"/>
  </si>
  <si>
    <t>()은는 웹상에 존재하는 데이터를 개별 URI로 식별하고, URI에 링크 정보를 부여함으로 상호 연결된 것을 지향하는 오픈 데이터이다.</t>
    <phoneticPr fontId="1" type="noConversion"/>
  </si>
  <si>
    <t>K개 소집단의 중심좌표를 이용하여 각 객체와 중심좌표 간의 거리를 산출하고, 가장 근접한 소집단에 배정한 후 해당 소집단의 중심좌표를 업데이트하는 방식으로 군집화 하는 방식은 무엇인가?</t>
    <phoneticPr fontId="1" type="noConversion"/>
  </si>
  <si>
    <t>()은는 데이터 분석을 위한 데이터를 데이터저장소인 DW 및 DM으로 이동시키기 위해 다양한 소스 시스템으로 부터 필요한 원본 데이터를 추출 하고 변환하는 기술이다.</t>
    <phoneticPr fontId="1" type="noConversion"/>
  </si>
  <si>
    <t>( )은/는 데이터 현황 분석을 위한 자료 수집을 통해 잠재적 오류 징후를 발견하는 방법이다. ( )은/는 데이터의 저장, 연계, 가공, 활용 등 데이터의 변경이 발생하는 모든 영역에서 수행하여 오류를 사전에 파악할 수 있다.</t>
    <phoneticPr fontId="1" type="noConversion"/>
  </si>
  <si>
    <t>( )은/는 데이터 분석의 목적으로 수집된 데이터를 확률 · 통계적으로 정리 · 요약하는 기초적인 통계 방법이다. • 평균, 분산, 표준편차, 왜도와 첨도빈도 등 데이터 에 대한 대략적인 통계적 수치를 계산하고 도출한다.</t>
    <phoneticPr fontId="1" type="noConversion"/>
  </si>
  <si>
    <t>불균형 데이터 처리를 위해 서로 같거나 서로 다른 여러 가지 모형들의 예측/분류 결과를 종합하여 최종적인 의사 결정에 활용하는 기법은 무엇인가?</t>
    <phoneticPr fontId="1" type="noConversion"/>
  </si>
  <si>
    <t>데이터 백업이나 통합 작업을 할 경우 최근 변경된 데이터들을 대상으로 다른 시스템으로 이동하는 처리 기술은 무엇인가?</t>
    <phoneticPr fontId="1" type="noConversion"/>
  </si>
  <si>
    <t>선택 가능한 행동 중 보상을 최대화하는 행동 혹은 행동 순서를 선택하는 학습 방법이다. • 컴퓨터가 선택한 행동(Action)에 대한 반응에 따라 보상(Reward)이 주어진다. • 행동의 결과로 나타나는 보상을 통하여 학습을 진행 한다.</t>
    <phoneticPr fontId="1" type="noConversion"/>
  </si>
  <si>
    <t>개체들 사이의 유사성, 비유사성을 측정하여 2차원 또는 3차원 공간상에 점으로 표현하여 개체들 사이의 집단 화를 시각적으로 표현하는 분석방법은 무엇인가?</t>
    <phoneticPr fontId="1" type="noConversion"/>
  </si>
  <si>
    <t xml:space="preserve">의사결정나무를 개별 모형으로 사용하는 모형 결합 방법으로, 모든 독립변수를 비교하여 최선의 독립변수를 선택하는 것이 아니라 독립변수 차원을 랜덤하게 감소시킨 다음 그중에서 독립변수를 선택하는 방법은 무엇인가? </t>
    <phoneticPr fontId="1" type="noConversion"/>
  </si>
  <si>
    <t>( )은 는 특정 개인을 식별할 수 없도록 개인 정보의 일부 또는 전부를 변환하는 일련의 방법이다.</t>
    <phoneticPr fontId="1" type="noConversion"/>
  </si>
  <si>
    <t>()은 는 모델 자체에 변수 선택이 포함된 기법이다. / ()의 사례로는 라조, 릿지, 엘라스틱 넷. Select FromModel등이 있다.</t>
    <phoneticPr fontId="1" type="noConversion"/>
  </si>
  <si>
    <t>프라이버시 보호 모델에서 주어진 데이터 집합에서 같은 값이 적어도 개 이상 존재하도록 하여 쉽게 다른 정보로 결합할 수 없도록 하는 모델은 무엇인가?</t>
    <phoneticPr fontId="1" type="noConversion"/>
  </si>
  <si>
    <t xml:space="preserve"> () 은/는 개체들의 밀도(Density) 계산을 기반으로 밀접하게 분포된 개체들끼리 그룹핑하는 알고리즘이다. 클러스터의 개수를 미리 지정할 필요가 없고, 군집 밀도에 따라서 군집을 서로 연결하기 때문에 기하학 적인 모양의 군집 분석이 가능하다 . 중심점, 이웃점, 경계점, 잡음점 등으로 구분된다.</t>
    <phoneticPr fontId="1" type="noConversion"/>
  </si>
  <si>
    <t>( )은는 분류 모형의 성능을 평가하기 위해서 사용되는 그래프 분석 방법이다. -( )은/는 이익 곡선(Gain Curve), 리프트 곡선 (Lift Curve)이라고도 부른다.</t>
    <phoneticPr fontId="1" type="noConversion"/>
  </si>
  <si>
    <t>결측값 처리를 위한 단순 대치법에서 관측 또는 실험 으로 얻어진 자료의 평균값으로 결측값을 대치하는 방법은?</t>
    <phoneticPr fontId="1" type="noConversion"/>
  </si>
  <si>
    <t>모델에서 외적인 요소로 데이터 분석을 통해 얻어지는 값이 아니라 사용자가 직접 설정해주거나 알고리즘 생성자가 직접 만드는 값은 무엇인가?</t>
    <phoneticPr fontId="1" type="noConversion"/>
  </si>
  <si>
    <t>다음이 설명하는 개념은 무엇인가?· 데이터에서 표식 (라벨)이 없는 경우가 많다. 예측의 문제보다는 주로 현상의 설명이나 특징추출. 패턴 도출 등의 문제에 사용된다. 대표적인 기법은 군집화 clustering), 차원 축소 기법 , 연관 관계 (장바구니) 분석, 자율학습 인공신경망의 기법이 있다.</t>
    <phoneticPr fontId="1" type="noConversion"/>
  </si>
  <si>
    <t>훈련 데이터에 대해서는 높은 성능을 보이지만 테스트 데이터에 대해서는 낮은 성능을 보이는 경우, 모델은 훈련 데이터를( )되었다고 한다. 괄호 ( )에 들어갈 알맞은 용어를 쓰시오.</t>
    <phoneticPr fontId="1" type="noConversion"/>
  </si>
  <si>
    <t>회귀 분석에서 전체 변수에서 시작하여 가장 적은 영향을 주는 변수를 하나씩 제거하는 방은 무엇인가?</t>
    <phoneticPr fontId="1" type="noConversion"/>
  </si>
  <si>
    <t>앙상블 분석에서 잘못 분류된 개체들에 가중치를 적용하여 새로운 분류 규칙을 만들고 이 과정을 반복해 최종 모형을 만드는 알고리즘은 무엇인가?</t>
    <phoneticPr fontId="1" type="noConversion"/>
  </si>
  <si>
    <t>인공신경망에서 은닉층 2개, 출력층 1개인 경우 출력 값은 얼마인가? · 마지막 은닉층의 값은 (0.2. -0.3)이다. • 첫 번째 노드의 가중치는 0.3. 두 번째 노드의 가중치는 0.1이다. • bias가 -0.05이고 활성화 함수는 (f(x) = x, x &gt; =0, x &lt; 0 경우 -1)이다.</t>
    <phoneticPr fontId="1" type="noConversion"/>
  </si>
  <si>
    <t>혼동 행렬의 가로와 세로축을 FPR(False Positive Rate), TPR(True Positive Rate)로 생성한 곡선은 무엇인가?</t>
    <phoneticPr fontId="1" type="noConversion"/>
  </si>
  <si>
    <t>앙상블 모형에서 다음이 설명하는 알고리즘은 무엇 인가? - 회귀 분류 모델링 사용되며 부스팅에 속한다. • 경사 하강법(Gradient Descent)을 이용하여 가중치 업데이트하여 최적화된 결과를 얻는 알고리즘이다.</t>
    <phoneticPr fontId="1" type="noConversion"/>
  </si>
  <si>
    <t>수제비 실기</t>
    <phoneticPr fontId="1" type="noConversion"/>
  </si>
  <si>
    <t>주로 마케팅에 활용되는 기법으로 고객 구매 데이터 하여 어떠한 상품이 또 다른 어떠한 상품과 함께 판매될 확률이 높은가를 보여주는 연관규칙을 도출하는 기법은 무엇인가?</t>
    <phoneticPr fontId="1" type="noConversion"/>
  </si>
  <si>
    <t>연관규칙 분석(장바구니분석)</t>
    <phoneticPr fontId="1" type="noConversion"/>
  </si>
  <si>
    <t>파라미터</t>
    <phoneticPr fontId="1" type="noConversion"/>
  </si>
  <si>
    <t>준지도학습</t>
    <phoneticPr fontId="1" type="noConversion"/>
  </si>
  <si>
    <t>링크드 데이터 (linked data)</t>
    <phoneticPr fontId="1" type="noConversion"/>
  </si>
  <si>
    <t>K-평균 군집화</t>
    <phoneticPr fontId="1" type="noConversion"/>
  </si>
  <si>
    <t>기술 통계</t>
    <phoneticPr fontId="1" type="noConversion"/>
  </si>
  <si>
    <t>데이터 프로파일링</t>
    <phoneticPr fontId="1" type="noConversion"/>
  </si>
  <si>
    <t>앙상블 기법</t>
    <phoneticPr fontId="1" type="noConversion"/>
  </si>
  <si>
    <t>CDC</t>
    <phoneticPr fontId="1" type="noConversion"/>
  </si>
  <si>
    <t>강화학습</t>
    <phoneticPr fontId="1" type="noConversion"/>
  </si>
  <si>
    <t>기울기 방향으로 힘을 받으면 물체가 가속된다는 물리 법칙을 적용한 알고리즘으로, 관성의 방향을 고려해 진동과 폭을 줄이는 효과가 있고, 탐색 경로의 변위가 줄어들어 빠르게 최적 점으로 수렴하는 특성을 가진 알고리즘은 무엇인가?</t>
    <phoneticPr fontId="1" type="noConversion"/>
  </si>
  <si>
    <t>모멘텀</t>
    <phoneticPr fontId="1" type="noConversion"/>
  </si>
  <si>
    <t>다차원 척도법</t>
    <phoneticPr fontId="1" type="noConversion"/>
  </si>
  <si>
    <t>랜덤 포레스트</t>
    <phoneticPr fontId="1" type="noConversion"/>
  </si>
  <si>
    <t>비식별화</t>
    <phoneticPr fontId="1" type="noConversion"/>
  </si>
  <si>
    <t>임베디드 방법</t>
    <phoneticPr fontId="1" type="noConversion"/>
  </si>
  <si>
    <t>K-익명성</t>
    <phoneticPr fontId="1" type="noConversion"/>
  </si>
  <si>
    <t>DBSCAN</t>
    <phoneticPr fontId="1" type="noConversion"/>
  </si>
  <si>
    <t xml:space="preserve">ROC 커브, 그래프 </t>
    <phoneticPr fontId="1" type="noConversion"/>
  </si>
  <si>
    <t>이익 도표</t>
    <phoneticPr fontId="1" type="noConversion"/>
  </si>
  <si>
    <t>데이터 정제 과정에서 처리해야 하는 값으로, 데이터가 정상의 범주에서 벗어난 값을 의미하는 것은 무엇인가?</t>
    <phoneticPr fontId="1" type="noConversion"/>
  </si>
  <si>
    <t>평균 대치법</t>
    <phoneticPr fontId="1" type="noConversion"/>
  </si>
  <si>
    <t>과대적합</t>
    <phoneticPr fontId="1" type="noConversion"/>
  </si>
  <si>
    <t>후진 제거법</t>
    <phoneticPr fontId="1" type="noConversion"/>
  </si>
  <si>
    <t>그래디언트부스팅</t>
    <phoneticPr fontId="1" type="noConversion"/>
  </si>
  <si>
    <t>하이퍼 파라미터</t>
    <phoneticPr fontId="1" type="noConversion"/>
  </si>
  <si>
    <t>이상치</t>
    <phoneticPr fontId="1" type="noConversion"/>
  </si>
  <si>
    <t>미입력</t>
    <phoneticPr fontId="1" type="noConversion"/>
  </si>
  <si>
    <t xml:space="preserve">귀무가설 분포에서 검정통계량보다 극단적인 값이 관측될 확률값. 이 값이 작을수록 검정통계량이 귀무가설의 내용에 적합하지 않음을 나타낸다. </t>
  </si>
  <si>
    <t xml:space="preserve">말뭉치에서 자주 등장하지만, 분석에 있어 기여하는 바가 없는 단어 </t>
  </si>
  <si>
    <t>크기가 같은 표본을 여러 번 단순임의 복원 추출하여 분류기를 생선한 후 앙상블하는 기법 / 모델의 안정성을 높이기 위하여 분석 데이터로부터 여러 개의 단순 복원 임의 추출하여 다수결을 통해 최종의 예측 모델을 도출하는 알고리즘 / 각각의 분류기가 모두 같은 유형의 알고리즘 기반이지만, 데이터 샘플링을 서로 다르게 가져가면서 학습을 수행해 보팅을 수행하는 것</t>
  </si>
  <si>
    <t xml:space="preserve">군집내 거리와 군집간의 거리를 기준으로 군집 분할 성과를 측정하는 방식은? / 군집 내의 데이터 응집도와 군집 간 분리도를 계산하는 지표는? </t>
  </si>
  <si>
    <t xml:space="preserve">지역별 매출액, 영업이익률, 판매량과 같이 수치로 명확하게 표현되는 데이터로, 그 양이 크게 증가하더라도 이를 DBMS에 저장, 검색, 분석하여 활용하기가 용이하다. </t>
  </si>
  <si>
    <t xml:space="preserve">데이터로부터 의미 있는 정보를 추출해 내는 학문은? </t>
  </si>
  <si>
    <t>설명</t>
  </si>
  <si>
    <t>큰 용량과 복잡성으로 기존 애플리케이션이나 툴로는 다루기 어려운 데이터셋의 집합</t>
  </si>
  <si>
    <t>추론과 추정의 근거를 이루는 객관적 사실 / 현실에서 관찰하거나 측정하여 수집한 사실</t>
  </si>
  <si>
    <t>지식을 도출할 때 사용하는 데이터 / 데이터의 가공 및 데이터 간 관계를 통해 패턴을 인식하는 것</t>
  </si>
  <si>
    <t>데이터를 통해 도출된 다양한 정보를 구조화하여 유의미한 정보를 분류하고 개인적인 경험을 결합해 내재화한 것</t>
  </si>
  <si>
    <t>빅데이터의 특징인 3V는?</t>
  </si>
  <si>
    <t>Volume(크기), Variety(다양성), Velocity(속도)</t>
  </si>
  <si>
    <t>고객의 대규모 거래데이터로부터 함께 구매가 발생하는 규칙을 도출하여, 고객이 특정 상품 구매 시 이와 연관성 높은 상품을 추천하는 분석 / 어떤 변인 간에 주목할 만한 상관관계가 있는지를 찾아내는 방법</t>
  </si>
  <si>
    <t>연관규칙 분석(장바구니분석)</t>
  </si>
  <si>
    <t xml:space="preserve">최적화가 필요한 문제의 해결책을 자연 선택, 돌연변이 등과 같은 매커니즘을 통해 점진적으로 진화시키는 방법 </t>
  </si>
  <si>
    <t>이것은 인공지능의 한 분야로 간주된다. 컴퓨터가 학습할 수 있도록 하는 알고리즘과 기술을 개발하는 분야이다. / 학습 데이터로 학습한 알려진 특성을 활용해 &amp;예측&amp;하는 방법</t>
  </si>
  <si>
    <t xml:space="preserve">기계 학습 =머신러닝 </t>
  </si>
  <si>
    <t>관찰된 연속형 변수들에 대해 두 변수 사이의 모형을 구한뒤 적합도를 측정해 내는 분석 방법이다. / 독립변수를 조작하면서 종속변수가 어떻게 변하는지를 보며 두 변인의 관계를 파악하는 것</t>
  </si>
  <si>
    <t>오피니언 리더, 즉 영향력 있는 사람을 찾아낼 수 있으며, 고객 간 소셜 관계를 파악</t>
  </si>
  <si>
    <t>여러 사람이 공유하여 사용할 목적으로 체계화해 통합, 관리하는 데이터의 집합 / 데이터를 받아들이고 저장, 공급하기 위하여 일정한 구조에 따라서 편성된 데이터의 집합</t>
  </si>
  <si>
    <t>DBMS(DataBase Management System)</t>
  </si>
  <si>
    <t>사용자의 의사결정에 도움을 주기 위해 수집된 대량의 비즈니스 데이터베이스 / 기업의 의사결정 과정을 지원하기 위한 주제 중심적으로 통합적이며 시간성을 가지는 비휘발성 데이터의 집합</t>
  </si>
  <si>
    <t>데이터 웨어하우스 (Data Warehouse, DW)</t>
  </si>
  <si>
    <t>재무, 제조, 소매유통, 공급망, 인사 관리, 운영 전반의 비즈니스 프로세스를 자동화하고 관리하는 시스템</t>
  </si>
  <si>
    <t>ERP(Enterprise Resource Planning, 전사적 자원 관리)</t>
  </si>
  <si>
    <t>KPI(Key Performance Indicator, 핵심 성과 지표)</t>
  </si>
  <si>
    <t xml:space="preserve">직무에 특정한 구체적인 기술이며, 실제로 업무를 수행하는 데 필요한 기술 </t>
  </si>
  <si>
    <t xml:space="preserve">개인이 보유하고 있는 고유한 속성, 성격 특성 및 의사소통 역량 </t>
  </si>
  <si>
    <t>전사 차원의 모든 데이터에 대해 정책 및 지침, 표준화, 운영 조직 및 책임 등의 표준화된 관리 체계를 수립하고 운영을 위한 프레임워크 및 저장소를 구축하는 것</t>
  </si>
  <si>
    <t>2020년 1월에 국회에서 통과된 이른바 데이터 3법이라 불리는 3가지?</t>
  </si>
  <si>
    <t>개인정보보호법, 정보통신망법, 신용정보법</t>
  </si>
  <si>
    <t>전산시스템을 필요로 하는 곳으로부터 하청을 받아 시스템의 기획 개발, 유지보수, 운영 등을 대신해주는 업종</t>
  </si>
  <si>
    <t>SI(System Integration, 시스템 구축)</t>
  </si>
  <si>
    <t xml:space="preserve">정답이 있는 데이터를 활용하여 분석 모델을 학습시키는 것 / 레이블이 범주형인 분류와 연속형인 회귀로 나뉜다. </t>
  </si>
  <si>
    <t>정답을 알려주지 않고 학습하는 것 / 정답 레이블이 없는 데이터를 비슷한 특징을 가진 데이터끼리 군집화하여 새로운 데이터에 대한 결과를 예측</t>
  </si>
  <si>
    <t>비지도 학습</t>
  </si>
  <si>
    <t>Open API (Application Programming Interface)</t>
  </si>
  <si>
    <t>고정된 구조로 정해진 필드에 저장된 데이터. 엑셀 스프레드시트, RDBMS(관계형 데이터베이스), CSV 파일 형태가 대표적</t>
  </si>
  <si>
    <t>고정된 필드에 저장되어 있지는 않지만, 데이터와 메타데이터, 스키마 등을 포함하는 데이터(XML, HTML, JSON 등). 규칙을 가지고 있어 필요 시 정형 데이터로 변형 가능</t>
  </si>
  <si>
    <t>관계형 데이터베이스를 SQL을 사용해 CRUD(Create, Read, Update, Delete)를 수행하고 관리할 수 있는 소프트웨어</t>
  </si>
  <si>
    <t xml:space="preserve">Not Only SQL의 약자로 SQL을 사용하는 전통적인 관계형 데이터베이스 시스템보다 상대적으로 제한이 덜한 데이터 모델을 기반에 둔 분산 데이터베이스 기술 / 데이터 저장을 위한 스키마가 필요 없으며 조인 연산을 지원하지 않는다. </t>
  </si>
  <si>
    <t>ETL(Extraction, Transformation and Load)</t>
  </si>
  <si>
    <t>모든 독립변수 가운데 기준 통계치에 가장 많은 영향을 줄 것으로 판단되는 변수(p값, AIC가 낮은 유의한 변수)부터 하나씩 추가하면서 모형을 선택하는 방법</t>
  </si>
  <si>
    <t>전체 모형에서 가장 적은 영향을 주는 변수부터 하나씩 제거하는 방법 / 최적방정식을 선택하기 위한 방법 중 모든 독립변수 후보를 포함한 모형에서 시작하여 가장 적은 영향을 주는 변수를 하나씩 제거하면서 더 이상 유의하지 않은 변수가 없을 때까지 설명변수를 제거하는 방법은 무엇인가?</t>
  </si>
  <si>
    <t xml:space="preserve">회귀분석에서 사용된 모형의 일부 설명 변수가 다른 설명 변수와 상관 정도가 높아 데이터 분석 시 부정적 영향을 미치는 것(회귀분석의 기본 가정인 독립성에 위배) </t>
  </si>
  <si>
    <t xml:space="preserve">변수를 연속적으로 추가 혹은 제거하면서 AIC가 낮아지는 모델을 찾는 방법 </t>
  </si>
  <si>
    <t>데이터 학습을 위해 차원이 증가하면서 학습데이터 수가 차원의 수보다 적어져 성능이 저하되는 현상 / 차원이 증가함에 따라(=변수의 수 증가) 데이터 사이의 거리가 멀어져 데이터의 밀도가 낮아져서 빈 공간에 0으로 채워져서 모델의 성능이 하락하는 현상</t>
  </si>
  <si>
    <t>t-SNE(t-분포 확률적 임베딩, Stochastic Neighbor Embedding)</t>
  </si>
  <si>
    <t>행렬의 크기가 다른 M*N 행렬에 대해 세 행렬의 곱으로 분해하는 것으로 데이터 압축 등의 많은 분야에서 활용 / M*N 차원의 행렬 데이터에서 특잇값을 추출하고 이를 통해 주어진 데이터 세트를 효과적으로 축약할 수 있는 차원 축소 기법은?</t>
  </si>
  <si>
    <t>특잇값 분해 (Singular Value Decomposition, SVD)</t>
  </si>
  <si>
    <t>파생변수</t>
  </si>
  <si>
    <t>EDA(Exploratory Data Analysis, 탐색적 데이터 분석)</t>
  </si>
  <si>
    <t xml:space="preserve">다양한 문서 자료 내 비정형 텍스트 데이터에 자연어 처리(NLP) 기술 및 문서처리 기술을 활용해 인사이트를 도출하는 기술 </t>
  </si>
  <si>
    <t>말뭉치(corpus)</t>
  </si>
  <si>
    <t>불용어(stopword)</t>
  </si>
  <si>
    <t>표본을 조사하여 얻은 데이터로 표본의 특징을 수치화한 값 / 모수를 추정하기 위해 구하는 표본 값들에 대한 용어</t>
  </si>
  <si>
    <t xml:space="preserve">모집단을 어떤 특성에 따라 서로 겹치지 않는 여러 개의 층으로 분할한 후 각 층에서 표본을 단순 무작위 추출법에 따라 추출하는 방법(계층 간 이질성, 계층 내 동질성) </t>
  </si>
  <si>
    <t xml:space="preserve">추정량의 기대값이 모수와 같아진다면, 이 추정량을 무엇이라고 하는가? </t>
  </si>
  <si>
    <t xml:space="preserve">실험, 연구를 통해 기각하고자 하는 어떤 가설 </t>
  </si>
  <si>
    <t xml:space="preserve">실험, 연구를 통해 증명하고자 하는 새로운 아이디어 혹은 가설 </t>
  </si>
  <si>
    <t xml:space="preserve">가설 검정에서 사용된 샘플 데이터로부터 계산된 표본 통계량. 이것으로 P-value를 계산하며 귀무가설을 기각할 것인지 판별하며 </t>
  </si>
  <si>
    <t>유의 확률(P-value)</t>
  </si>
  <si>
    <t>1종 오류(알파 오류)</t>
  </si>
  <si>
    <t>2종 오류(베타 오류)</t>
  </si>
  <si>
    <t>가설검정은 귀무가설과 대립가설 중에서 하나의 가설을 양자택일한다. 그래서 1-α는 귀무가설을 채택시키므로, 1-α의 영역을 &amp;(1)&amp;이라고 부르고, 반대로 α는 귀무가설을 기각(탈락)시키므로, α의 영역을 &amp;(2)&amp;이라고 부른다.</t>
  </si>
  <si>
    <t xml:space="preserve">(1)채택역, (2)기각역 </t>
  </si>
  <si>
    <t xml:space="preserve">수집한 데이터를 요약, 묘사, 설명하는 통계 기법 </t>
  </si>
  <si>
    <t>추론(추측) 통계</t>
  </si>
  <si>
    <t>모델이 학습 데이터를 과하게 학습하여 훈련용 데이터에 대한 성능은 높게 나오지만, 테스트 데이터에 대한 성능은 낮게 나오는 것</t>
  </si>
  <si>
    <t>과(대)적합</t>
  </si>
  <si>
    <t xml:space="preserve">재표본추출 방법의 일종으로 중복추출을 허용하는 방법 / 주어진 자료에서 단순 랜덤 복원추출 방법을 활용하여 동일한 크기의 표본을 여러개 생성하는 샘플링 방법 </t>
  </si>
  <si>
    <t>회귀분석의 5가지 기본 가정</t>
  </si>
  <si>
    <t>선형성, 독립성, 등분산성, 정규성, 비상관성(선비등(는) 정독)</t>
  </si>
  <si>
    <t>우리는 모집단의 실제값과 회귀선과의 차이인 (1)을 알아낼 수 없기에 표본에서 나온 관측값과 회귀선의 차이인 (2)를 이용해 분석을 수행한다.</t>
  </si>
  <si>
    <t>(1)오차, (2)잔차</t>
  </si>
  <si>
    <t>전체 변동 중 회귀모형에 의해 설명되는 변동의 비율로, 표본에 의해 추정된 회귀식이 주어진 자료를 얼마나 잘 설명하는지를 보여주는 값 / 주어진 데이터에 회귀선이 얼마나 잘 맞는지, 적합 정도를 평가하는 척도이자 독립변수들이 종속변수를 얼마나 잘 설명하는지 보여주는 지표</t>
  </si>
  <si>
    <t xml:space="preserve">인공신경망은 노드에 입력되는 값을 바로 다음 노드로 전달하지 않고 비선형 함수에 통과시킨 후 전달하는데 이때 사용되는 비선형 함수를 무엇이라고 하는가? </t>
  </si>
  <si>
    <t>코호넨 맵이라고도 불리며, 인공신경망을 기반으로 차원축소와 군집화를 동시에 수행할 수 있는 알고리즘은? / 코호넨에 의해 제시되었으며, 비지도 신경망으로 고차원의 데이터를 이해하기 쉬운 저차원의 뉴런으로 정렬하여 지도의 형태로 형상화하는 클러스터링 방법은 무엇인가?</t>
  </si>
  <si>
    <t xml:space="preserve">자기조직화지도 (SOM, Self Organizing Maps) </t>
  </si>
  <si>
    <t xml:space="preserve">Positive로 예측한 것 중에서 실제 값이 Positive인 비율 </t>
  </si>
  <si>
    <t xml:space="preserve">실제 Positive인 값 중 Positive로 분류한 비율 </t>
  </si>
  <si>
    <t>재현율, 민감도, 참 긍정률</t>
  </si>
  <si>
    <t xml:space="preserve">실제 Negative인 값 중 Negative로 분류한 비율 </t>
  </si>
  <si>
    <t>특이도, 참 부정률</t>
  </si>
  <si>
    <t xml:space="preserve">실제 Negative인 값 중 Positive로 잘못 분류한 비율 </t>
  </si>
  <si>
    <t xml:space="preserve">정밀도와 재현율의 조화평균으로, 정밀도와 재현율 중 한쪽만 클 때보다 두 값이 골고르 클 때 큰 값이 된다. </t>
  </si>
  <si>
    <t>F1-스코어</t>
  </si>
  <si>
    <t>가장 단순한 종류의 교차검증 방법으로 데이터를 랜덤으로 추출해 학습 데이터와 테스트 데이터로 나누는 것 / 모형 평가방법 중 주어진 원천 데이터를 랜덤하게 두 분류로 분리하여 교차 검정을 실시하는 방법으로 하나는 모형의 학습 및 구축을 위한 훈련용 자료로, 다른 하나는 성과 평가를 위한 검증용 자료로 사용하는 방법은 무엇인가?</t>
  </si>
  <si>
    <t>빅데이터 분석에 경제성을 제공해준 기술은? / 인터넷상의 서버에서 데이터 저장, 처리, 네트워크, 콘텐츠 사용 등 서로 다른 물리적인 위치에 존재하는 컴퓨팅 자원을 가상화 기술을 통해 IT 관련 서비스를 한번에 제공하는 혁신적인 컴퓨팅 기술은?</t>
  </si>
  <si>
    <t>데이터에 관한 구조화된 데이터 / 어떤 목적을 가지고 만들어진 데이터 / 데이터 그 자체가 아니라, 자료의 속성, 구조 등을 설명하는 데이터</t>
  </si>
  <si>
    <t>합리적 의사결정을 방해하는 요소로 표현 방식 및 발표자에 따라 판단을 달리하는 것은?</t>
  </si>
  <si>
    <t>디자인 사고 (Design Thinking)</t>
  </si>
  <si>
    <t>작은 규모의 데이터 웨어하우스는? / 데이터 웨어하우스에서 추출한 데이터를 특정 주제영역으로 분석 후 그 결과를 조직이나 팀에서 활용하도록 제공한 데이터</t>
  </si>
  <si>
    <t>데이터 마트 (Data Mart)</t>
  </si>
  <si>
    <t>평균으로부터 K*표준편차만큼 떨어져 있는 값들을 이상값으로 판단하는 방법</t>
  </si>
  <si>
    <t xml:space="preserve">주어진 시간 또는 영역에서 어떤 사건의 발생 횟수를 나타내는 확률 분포는? </t>
  </si>
  <si>
    <t xml:space="preserve">비선형적인 관계도 파악할 수 있는 상관계수는? </t>
  </si>
  <si>
    <t>회귀모형의 계수를 추정하는 방법으로써 잔차제곱합을 최소화하는 계수를 찾는 방법은?</t>
  </si>
  <si>
    <t xml:space="preserve">회귀모형의 잔차항이 정규분포를 이뤄야 한다는 가정은? / 미래는 확률적으로 과거와 동일하다는 것을 의미하는 시계열 용어는? </t>
  </si>
  <si>
    <t xml:space="preserve">현 시점의 자료값에서 전 시점의 자료를 빼는 방법은? </t>
  </si>
  <si>
    <t>동일한 상대적 거리를 가진 실수 공간의 점들로 대상들을 배치시키는 방법은? / 개체들 사이의 유사성, 비유사성을 측정하여 2차원 또는 3차원 공간상에 점으로 표현하여 개체들 사이의 집단화를 시각적으로 표현하는 분석 방법</t>
  </si>
  <si>
    <t>다차원 척도법</t>
  </si>
  <si>
    <t xml:space="preserve">의사결정 나무에서 더 이상 분기되지 않도록 하는 규칙은? </t>
  </si>
  <si>
    <t>여러 개의 결정 트리 분류기(같은 알고리즘이 여러 개)가 전체 데이터에서 배깅 방식으로 각자의 데이터를 샘플링해 개별적으로 학습을 수한한 뒤 최종적으로 모든 분류기가 보팅을 통해 예측을 결정하는 앙상블 알고리즘은?</t>
  </si>
  <si>
    <t xml:space="preserve">다층 신경망에서 은닉층이 많아 학습이 이루어지지 않는 문제는 무엇인가? </t>
  </si>
  <si>
    <t xml:space="preserve">출력값 z가 여러 개로 주어지고 목표치가 다범주인 경우 각 범주에 속할 사후 확률을 제공하는 함수는? </t>
  </si>
  <si>
    <t>실루엣 계수</t>
  </si>
  <si>
    <t xml:space="preserve">두 벡터 사이의 각도를 이용하여 벡터간의 유사 정도를 측정하는 방식은? </t>
  </si>
  <si>
    <t xml:space="preserve">계층적 군집분석에서 군집 내의 오차제곱합에 기초하여 거리를 측정하는 방법은? / 오차제곱합의 합에 비해 증가한 정도가 작아지는 방향으로 군집하는 방법은? </t>
  </si>
  <si>
    <t xml:space="preserve">연관규칙 분석에서 품목간 상관관계를 기준으로 규칙의 예측력을 평가하는 지표는? / A→B의 연관 규칙에서 임의로 B가 구매되는 경우에 비해 A와의 관계가 고려되어 구매되는 경우의 비율이다. </t>
  </si>
  <si>
    <t xml:space="preserve">전체 항목 중 A와 B가 동시에 포함되는 항목의 비율은? </t>
  </si>
  <si>
    <t>정규화 방법 중 원 데이터의 분포를 유지하면서 정규화하는 방법은? / 모든 데이터를 0과 1 사이의 값으로 변환하는 기법은?</t>
  </si>
  <si>
    <t xml:space="preserve">일반 상용 서버로 구성된 클러스터에서 사용할 수 있는 분산 파일 시스템과, 대량의 자료를 처리하기 위한 분산 처리 시스템을 제공하는 오픈소스 프레임워크 </t>
  </si>
  <si>
    <t>어노테이션 (Annotation)</t>
  </si>
  <si>
    <t xml:space="preserve">당사자의 동의 없는 개인정보 수집 및 활용하거나 제3자에게 제공하는 것을 금지하는 등 개인정보보호를 강화한 내용을 담아 제정한 법률 </t>
  </si>
  <si>
    <t>데이터의 전부 또는 일부분을 대체값(공백, 노이즈 등)으로 변환하는 비식별화 방법 / 개인의 사생활 침해를 방지하고 통계 응답자의 비밀사항은 보호하면서 통계자료의 유용성을 최대한 확보할 수 있는 데이터변환 방법은?</t>
  </si>
  <si>
    <t>동일하거나 다른 학습 알고리즘을 사용해서 여러 모델을 학습하는 개념 / 주어진 자료로부터 여러 개의 예측모형들을 만든 후 예측모형들을 조합하여 하나의 최종 예측 모형을 만들어 분류 정확성을 향상시키는 기법은?</t>
  </si>
  <si>
    <t>고정된 훈련 데이터 세트와 테스트 검증데이터 세트로 평가하여 반복적으로 튜닝할 시 테스트 데이터에 과적합되는 결과가 생기는 것을 방지하는 방법</t>
  </si>
  <si>
    <t>교차검증</t>
  </si>
  <si>
    <t>반복을 통하여 점증적으로 개발하는 방법으로 처음 시도하는 프로젝트에 적용이 용이하지만, 반복에 대한 관리 체계를 효과적으로 갖추지 못한 경우 복잡도가 상승하여 프로젝트 진행이 어려울 수 있는 모델은 무엇인가?</t>
  </si>
  <si>
    <t>모델의 파라미터값을 측정하기 위해 알고리즘 구현 과정에서 사용, 주로 알고리즘 사용자에 의해 결정, 경험에 의해 결정 가능한 값이며 모델 성능 향상을 위해 조절해주는 값은? / 인공지능 모델 학습 시 데이터 분석을 통해서가 아니라 사용자가 직접 설정해 주는 값은?</t>
  </si>
  <si>
    <t xml:space="preserve">GMM(Gaussian Mixture Model) 군집분석이 모수를 학습하는 방법은? </t>
  </si>
  <si>
    <t>EM 알고리즘</t>
  </si>
  <si>
    <t>빅데이터 저장 기술로 관계형 데이터베이스 관리 시스템으로 하나의 데이터베이스를 여러 개의 서버상에 구축하는 시스템은?</t>
  </si>
  <si>
    <t>데이터를 분리하는 초평면 중에서 데이터들과 거리가 가장 먼 초평면을 선택하여 분리하는 지도 학습 기반의 이진 선형 분류 모델은? / 주어진 데이터에서 마진을 최대화하는 초평면을 구하는 방법으로 학습하는 알고리즘은?</t>
  </si>
  <si>
    <t>SVM (Soft Vector Machine)</t>
  </si>
  <si>
    <t>데이터 안에 관찰할 수 없는 잠재적인 변수가 존재한다고 가정하는 차원축소기법. 모형을 세운 뒤 관찰 가능한 데이터를 이용하여 해당 잠재 요인을 도출하고 데이터 안의 구조를 해석하는 기법은?</t>
  </si>
  <si>
    <t>분석 대상 데이터 집합에서 준식별자 속성이 동일한 레코드가 적어도 K개 이상 존재하도록 제한하는 개인정보 보호 기법</t>
  </si>
  <si>
    <t>k-익명성</t>
  </si>
  <si>
    <t>대규모 분산 시스템 모니터링을 위해 에이전트와 컬렉터 구성을 통해 데이터를 수집하고 수집된 데이터를 하둡 파일 시스템(HDFS)에 저장하는 기능을 제공하는 데이터 수집 기술</t>
  </si>
  <si>
    <t>Chukwa (척와)</t>
  </si>
  <si>
    <t>RDBMS와 하둡 사이의 데이터를 이동시켜주는 애플리케이션</t>
  </si>
  <si>
    <t>Apache Sqoop (스쿱)</t>
  </si>
  <si>
    <t>분산 환경에서 대량의 로그 데이터를 효과적으로 수집하여 합친 후 다른 곳으로 전송할 수 있는 신뢰할 수 lT는 서비스</t>
  </si>
  <si>
    <t>Apache Flume (플럼)</t>
  </si>
  <si>
    <t xml:space="preserve">빅데이터 저장 기술로 컴퓨터 네트워크를 통해 공유하는 여러 호스트 컴퓨터의 파일에 접근할 수 있게 하는 파일 시스템은? </t>
  </si>
  <si>
    <t>실시간으로 기록 스트림을 게시, 구독, 저장 및 처리할 수 있는 분산 데이터 스트리밍 플랫폼</t>
  </si>
  <si>
    <t>Apache Kafka (카프카)</t>
  </si>
  <si>
    <t>구글에서 대용량 데이터 처리를 분산 병렬 컴퓨팅에서 처리하기 위한 목적으로 제작하여 2004년 발표한 소프트웨어 프레임워크. 간단하게 설명하자면, 한명이 4주 작업할 일을 4명이 나누어 1주일에 끝내는 것</t>
  </si>
  <si>
    <t>MapReduce (맵리듀스)</t>
  </si>
  <si>
    <t xml:space="preserve">인터넷상에서 제공되는 다양한 웹 사이트로부터 소셜 네트워크 정보, 뉴스, 게시판 등의 웹 문서 및 콘텐츠 수집 기술 </t>
  </si>
  <si>
    <t xml:space="preserve">주어진 데이터를 k개의 클러스터로 묶는 알고리즘으로, 각 클러스터와 거리 차이의 분산을 최소화하는 방식으로 동작한다. 이 알고리즘은 자율 학습의 일종으로, 레이블이 달려 있지 않은 입력 데이터에 레이블을 달아주는 역할을 수행한다. </t>
  </si>
  <si>
    <t>k-평균 군집화 알고리즘</t>
  </si>
  <si>
    <t>데이터베이스의 테이블이 어떻게 구성되는지, 어떤 정보를 담고 있는지에 대한 기본적인 구조를 정의하는 것</t>
  </si>
  <si>
    <t>번호를 부여한 샘플을 나열하여 k개씩 n개의 구간을 나누고 첫 구간에서 하나를 임의로 선택한 후에 k개씩 띄어서 표본을 선택하고 매번 k번째 항목을 추출하는 표본 추출 방법</t>
  </si>
  <si>
    <t xml:space="preserve">시계열 분석의 기본이 되는 중요한 개념으로 시계열의 평균과 분산이 일정하고 일정한 추세가 없는 것을 무엇이라 하는가? </t>
  </si>
  <si>
    <t>베이즈 정리와 특징에 대한 조건부 독립을 가설로 하는 알고리즘으로 클래스에 대한 사전 정보와 데이터로부터 추출된 정보를 결합하고 베이즈 정리를 이용하여 어떤 데이터가 특정 클래스에 속하는지를 분류하는 알고리즘</t>
  </si>
  <si>
    <t>나이브 베이즈 분류</t>
  </si>
  <si>
    <t>이것은 데이터 안의 두 변수 간의 관계를 알아보기 위해 사용하는 값이다. 두 변수간의 공분산으로는 음과 양의 관계를 파악할 수 있으나 관계 정도를 확인하기는 힘들다. 그래서 각 변수의 표준편차를 곱하여 공분산을 나누어 -1에서 1사이의 값으로 표준화하여 두 변수 간의 관계 정도를 확인 할 수 있도록 수치화 한 이것을 활용한다. 이것은 무엇인가?</t>
  </si>
  <si>
    <t xml:space="preserve">우리는 모집단을 조사하기 위해 추출한 모집단의 일부 원소를 이용한다. 통계자료의 획득 방법 중 모집단을 조사하기 위해 추출한 집단을 무엇이라 하는가? </t>
  </si>
  <si>
    <t>표본 집단, 샘플</t>
  </si>
  <si>
    <t>풀어야 할 문제에 대한 상세한 설명 및 해당 문제를 해결했을 때 발생하는 효과를 명시함으로써 향후 데이터 분석 문제로의 전환 및 적합성 평가에 활용하도록 하는 것은 무엇인가?</t>
  </si>
  <si>
    <t xml:space="preserve">의사결정나무 중 연속형 타깃변수(또는 목표변수)를 예측하는 의사결정나무를 무엇이라고 하는가? </t>
  </si>
  <si>
    <t>각종 사물에 센서와 통신 기능을 내장하여 인터넷에 연결하는 기술. 즉, 무선 통신을 통해 각종 사물을 연결하는 기술을 의미</t>
  </si>
  <si>
    <t>사물인터넷 (Internet of Things, IoT)</t>
  </si>
  <si>
    <t xml:space="preserve">이것은 비즈니스 측면에서 일반적으로 &amp;공동 활용의 목적으로 구축된 유무형의 구조물&amp;을 의미한다. 수집된 데이터를 가공, 처리, 저장해두고 이 데이터에 접근할 수 있도록 API를 공개한다. 그러면 다양한 서드파티 사업자들이 비즈니스에 필요한 정보를 추출해 활용하게 되고 빅데이터는 그 자체로 이 역할을 수행하게 된다. </t>
  </si>
  <si>
    <t>변수들의 자기상관성을 기반으로 한 시계열 모형으로 현시점의 자료를 p시점 전의 과거 자료를 통해 설명할 수 있는 모델이다. 자기 자신의 과거 값이 이후 자신의 값에 영향을 준다. / 현시점의 자료가 k 시점 이전의 유한개의 과거 자료로 설명할 수 있는 모형 / 자기 자신의 과거 값이 이후 자신의 값에 영향을 주기 때문에 이름이 붙음</t>
  </si>
  <si>
    <t>자기회귀모형 (AutoRegressive,AR모형)</t>
  </si>
  <si>
    <t>현재 데이터가 과거 백색잡음의 선형 가중합으로 구성된다는 모형 / 시간이 갈수록 관측치의 평균값이 지속해서 증가하거나 감소하는 시계열모형 / 백색잡음 과정은 서로 독립이고 평균이 0인 확률변수이므로 항상 정상성을 만족함</t>
  </si>
  <si>
    <t>이동평균모형 (Moving Average, MA모형)</t>
  </si>
  <si>
    <t>데이터가 비정상성이 아닌 증거를 나타내는 경우에 적용되며, 초기 차분 단계(모델의 "통합된" 부분에 해당)를 한 번 이상 적용하여 비정상성을 제거할 수 있다. / 분기 , 반기, 연간 단위로 다음 지표를 예측하거나 주간, 월간 단위로 지표를 리뷰하여 경향을 분석하는 기법</t>
  </si>
  <si>
    <t>자기회귀누적 이동평균모형 (AutoRegressive Integrated Moving Average, ARIMA모형)</t>
  </si>
  <si>
    <t>데이터 호수 (Data Lake)</t>
  </si>
  <si>
    <t xml:space="preserve">K-익명성의 동질설 문제나 배경지식을 이용하는 문제를 해결하기 위하여 익명성을 향상시키는 방법 </t>
  </si>
  <si>
    <t>L-다양성</t>
  </si>
  <si>
    <t>T-접근성</t>
  </si>
  <si>
    <t>데이터의 결측값(치)을 채우거나 이상값을 제거하여 데이터 품질을 높이는 과정</t>
  </si>
  <si>
    <t xml:space="preserve">데이터의 결측값을 처리하는 방법 중 이것은 보통 m번 대체를 수행하고 그에 따른 m개의 자료가 생성되면 이를 각각 분석하는 방법이다. </t>
  </si>
  <si>
    <t xml:space="preserve">표본평균들의 표준편차 </t>
  </si>
  <si>
    <t>표준 오차</t>
  </si>
  <si>
    <t>시계열에 영향을 주는 일반적인 요인을 시계열에서 분리해 분석하는 방법 / 분석목적에 따라 특정 요인만 분리 분석하거나 제거하는 작업을 함</t>
  </si>
  <si>
    <t>성능이 약한 학습기를 여러 개 연결하여 순차적으로 학습하여, 정답을 맞히지 못한 부분에 가중치를 부여함으로써 강한 학습기를 생성하는 앙상블 기법 / 모델의 정확성을 높이기 위해 오분류된 개체들에 가중치를 부여함으로써 새로운 분류규칙을 생성 및 반복하여 약한 분류 모델을 강한 분류모델로 변형하는 알고리즘</t>
  </si>
  <si>
    <t>적중확률(Y축,True Positive Rate, Sensitivity) 대 오경보확률(X축, False Positive Rate, 1- Specificity)의 그래프 / 민감도와 특이도를 이용하여 분류 모델의 수준을 면적으로 표현하여, 모델 평가를 가시화한 도구</t>
  </si>
  <si>
    <t xml:space="preserve">ROC 커브, 그래프 </t>
  </si>
  <si>
    <t>문서의 키워드, 개념 등을 직관적으로 파악할 수 있도록 핵심 단어를 시각적으로 돋보이게 하는 기법</t>
  </si>
  <si>
    <t>워드 클라우드 (Word Cloud)</t>
  </si>
  <si>
    <t>BI(Business Intelligence)</t>
  </si>
  <si>
    <t xml:space="preserve">누구나 열람할 수 있는 디지털 장부에 거래 내역을 투명하게 기록하고, 여러 대의 컴퓨터에 이를 복제해 저장하는 분산형 데이터 저장기술 </t>
  </si>
  <si>
    <t xml:space="preserve">새로운 모델을 만들 시, 기존의 만들어진 모델을 사용하여 학습을 빠르게 하며, 모델 성능을 높이는 방법은? </t>
  </si>
  <si>
    <t xml:space="preserve">인간의 간섭을 가능한 최소한으로 하여 금융 서비스나 투자 관리를 온라인으로 제공하는 투자 자문역할의 일종이다. 수리적 규칙이나 알고리즘에 기반한 디지털 금융 서비스를 제공한다. </t>
  </si>
  <si>
    <t>로보 어드바이저 (Robo Advisor)</t>
  </si>
  <si>
    <t>t-분포</t>
  </si>
  <si>
    <t>F-분포</t>
  </si>
  <si>
    <t>기업의 합리적인 의사결정을 방해하는 요소로서 문제의 표현 방식에 따라 동일한 사건이나 상황임에도 불구하고 개인의 판단이나 선택이 달리질 수 있는 현상을 무엇이라고 하는가?</t>
  </si>
  <si>
    <t>층화 추출법</t>
  </si>
  <si>
    <t>모집단을 여러 군집으로 나누고, 일부 군집의 전체 또는 일부를 추출하는 방식, 내부적으로는 이질적, 외부적으로는 동질적인 방법</t>
  </si>
  <si>
    <t>군집 추출법 (집락추출)</t>
  </si>
  <si>
    <t xml:space="preserve">군집 타당성 지표(Clustering Validity Index) 중의 하나로 군집 내의 데이터 응집도(cohesion)와 군집간 분리도(separation)를 계산하며 계산된 결과는 -1에서 1 사이의 값을 가지고, 군집 분석이 잘 된 경우 1에 가까운 값을 가지는 지표는 무엇인가? </t>
  </si>
  <si>
    <t>실루엣</t>
  </si>
  <si>
    <t>의사결정나무의 형성 과정 중 끝마디가 너무 많을 경우, 모형이 과대 적합되어 현실 문제에 적용할 수 있는 적절한 규칙이 나오지 않게 되는 문제가 발생한다. 따라서 분류된 관측치의 비율 또는 MSE등을 교려하여 적절한 수준의 (     )규칙을 제공해 주어야한다.</t>
  </si>
  <si>
    <t>가지치기</t>
  </si>
  <si>
    <t>의사결정나무의 형성 과정 중 더 이상 분리가 일어나지 않도록 현재 마디가 끝마디가 되도록 하는 규칙으로 의사결정나무의 깊이를 지정, 끝마디의 레코드 수의 최소 개수를 지정하는 것은 무엇인가?</t>
  </si>
  <si>
    <t>인공신경망에서 가중치 매개변수 기울기를 미분으로 계산하면 시간 소모가 크다. 이를 개선하여 오차를 출력층에서 입력층으로 전달하고, 연쇄법칙을 활용하여 역전파를 통해 가중치와 편향을 갱신하는 것은 무엇인가?</t>
  </si>
  <si>
    <t>오차역전파</t>
  </si>
  <si>
    <t>코호넨에 의해 제시된 비지도 신경망으로 고차원의 데이터를 이해하기 쉬운 저차원의 뉴런으로 정렬하여 지도의 형태로 형상화한 군집분석방법은 무엇인가?</t>
  </si>
  <si>
    <t>SOM</t>
  </si>
  <si>
    <t>기업이 외부 공급업체 또는 제휴업체와 통합된 정보시스템으로 연계하여 시간과 비용을 최적화시키기 위한 것으로, 자재구매, 생산/재고, 유통/판매, 고객데이터로 구성되는 정보시스템</t>
  </si>
  <si>
    <t>기업의 내부 데이터로써 소비자들을 자신의 고객으로 만들 고, 이를 장기간 유지하고자 내부 정보를 분석하고 저장하는 데 사용하는 정보시스템</t>
  </si>
  <si>
    <t>회귀모형의 계수를 추정하는 방법으로 잔차의 제곱합을 최소화하는 계수를 찾는 방법을 무엇이라고 하는가?</t>
  </si>
  <si>
    <t>인공신경망 학습에서 최적의 가중치 매개변수 값을 찾기 위한 지표로 이것을 사용한다./인공신경망의 학습은 이것이 최소가 되도록 하기 위해 가중치와 편향을 찾는 것이다./출력한 값과 실제 값과의 오차에 대한 함수이다./이것으로 평균제곱오차 또는 교차엔트로피 오차를 활용한다./  무엇에 대한 설명인가?</t>
  </si>
  <si>
    <t>손실함수</t>
  </si>
  <si>
    <t>텍스트 마이닝의 전처리 과정에서 어형이 변형된 단어로부터 접사등을 제거하고 그 단어의 원형 또는 어간을 | 분리해 내는 것을 무엇이라고 하는가?</t>
  </si>
  <si>
    <t>스테밍</t>
  </si>
  <si>
    <t>원 데이터 집합으로부터 크기가 같은 표본을 여러번 단순 임의 복원추출하여 각 표본에 대해 분류기(classifiers)를 생성한 후 그 결과를 앙상블하는 기법이다./무엇에 대한 설명인가?</t>
  </si>
  <si>
    <t>배깅의 과정과 유사하나 부트스트랩 표본을 구성하는 재표본(re-sampling) 과정에서 각 자료에 동일한 확률을 부여하는 것이 아니라, 분류가 잘못된 데이터에 더 큰 가중을 주어 표본을 추출하는 기법</t>
  </si>
  <si>
    <t>실제로 ‘부정’인 범주 중에서 ‘부정’으로 올바르게 예측한 비율로 TN/(TN+FP)의 계산식을 갖는 혼동행렬 지표는 무엇인가?</t>
  </si>
  <si>
    <t>실제로 ‘긍정’인 범주 중에서 ‘긍정’으로 올바르게 예측(TP)한 비율/ TP/(TP+FN)</t>
  </si>
  <si>
    <t>민감도</t>
  </si>
  <si>
    <t>실제로 ‘부정’인 범주 중에서 ‘긍정’으로 잘못 예측(FP)한 비율/ FP/(TN+FP)</t>
  </si>
  <si>
    <t>‘긍정’으로 예측한 비율 중에서 실제로 ‘긍정’(TP)인 비율/ TP/(TP+FP)</t>
  </si>
  <si>
    <t>독립변수들간에 높은 선형관계가 존재할 때 발생하는 문제이다.  - 회귀분석에서 결정계수값이 높아 회귀식의 설명력은 높지만, 각 독립변수의 P-값(P-value)이 커서 개별 인자들이 유의하지 않는 경우 이 문제가 발생할 수 있다. - 분산팽창요인(Variance Inflation Factor,VIF)이 10을 넘는 경우 발생하는 문제이다. - 상관관계가 높은 독립변수중 하나 혹은 일부를 제거하여 이 문제를 해결한다. - 주성분분석(PCA) 방법을 이용하여 설명력이 높은 변수를 선택하여 이 문제를 해결한다. 다음이 설명하는 것은</t>
  </si>
  <si>
    <t>군집 내의 오차 제곱합(Error Sum of Square)에 기초하여 군집을 수행하는 방법으로 군집의 병합으로 인한 오차 제곱 합의 증가량이 최소가 되는 방향으로 군집을 형성하는 군집 간 거리측정 방법은 무엇인가 ?</t>
  </si>
  <si>
    <t>평균으로부터 t standard deviateion 만큼 떨어져 있는 값들을 이상값으로 판단하고 t를 3으로 하는 이상값 검색 알고리즘은 무엇인가?</t>
  </si>
  <si>
    <t>연관성 분석에서 규칙이 우연에 의해 발생한 것인지를 판단하기 위해 연관 규칙 내 항목의 연관성 정도를 측정하는 척도는 무엇인가? / A가 주어지지 않았을 때 B의 확률 대비 A가 주어졌을 때 B의 확률 증가 비율</t>
  </si>
  <si>
    <t>향상도(Lift)</t>
  </si>
  <si>
    <t>전체 거래 중 항목 A와 B를 동시에 포함하는 거래의 비율</t>
  </si>
  <si>
    <t>A 상품을 샀을 때 B 상품을 살 조건부 확률에 대한 척도</t>
  </si>
  <si>
    <t>신뢰도</t>
  </si>
  <si>
    <t xml:space="preserve"> (         )은/는 사용자의 의사결정에 도움을 주기 위하여, 기간 시스템의 데이터베이스에 축적된 데이터를 공통 형식으로 변환해서 관리하는 데이터베이스이다.</t>
  </si>
  <si>
    <t>시간이 지날수록 관측치의 평균값이 지속적으로 증가하거나 감소하는 시계열 모형으로 주기나 불규칙성을 가지고 있는 시계열 데이터의 특성을 토대로 과거의 몇 개 관측치를 평균하여 전반적인 추세를 파악할 수 있는 시계열 모형은 무엇인가?</t>
  </si>
  <si>
    <t>이동평균모형(Moving Average Model)</t>
  </si>
  <si>
    <t>새로운 데이터 클래스를 해당 데이터와 가장 가까운 개 데이터들의 클래스로 분류하는 알고리즘으로, 특정 데이터에서 가까운 개의 데이터의 거리를 구할 때 거리 유클리디안 거리, 맨하탄 거리, 민코우스키 거리 등을 사용할 수 있는 기법은 무엇인가?</t>
  </si>
  <si>
    <t>KNN</t>
  </si>
  <si>
    <t>다음이 설명하는 빈발항목집합(frequent itemsets) 및 연관규칙분석을 위한 알고리즘은 무엇인가? - 가능한 모든 경우의 수를 탐색하는 방식을 개선하기 위하여 데이터들의 발생 빈도가 높은 것을 찾는 알고리즘</t>
  </si>
  <si>
    <t>아프리오리(A Priori) 알고리즘</t>
  </si>
  <si>
    <t>서포트 벡터 머신에서 완벽한 분리가 불가능할 때 선형적으로 분류를 위해 허용된 오차를 위한 변수를 무엇이라 하는가?</t>
  </si>
  <si>
    <t>슬랙 변수 (Slack Variable)</t>
  </si>
  <si>
    <t>혼동 행렬의 평가 지표 중에서 실제 '부정'인 범주 중에서 '부정으로' 올바르게 예측한 비율은 무엇인가?</t>
  </si>
  <si>
    <t>(          )은/는 추가 정보의 사용 없이 특정 개인을 알아볼 수 없게 조치한 정보이다.</t>
  </si>
  <si>
    <t>가명정보</t>
  </si>
  <si>
    <t>X 값이 0보다 큰 경우 Y 값도 지속적으로 증가하고 X값이 0보다 작은 경우 인, 시그모이드의 사라지는 경사 현상 문 |제를 해결하는 활성화 함수는 무엇인가?</t>
  </si>
  <si>
    <t>ReLU</t>
  </si>
  <si>
    <t>홀드 아웃 교차 검증</t>
  </si>
  <si>
    <t xml:space="preserve">다음이 설명하는 연속형 변수의 거리는 무엇인가? - m차원 공간을 일반화한 거리이다.   이 공간에서는 일반적인 3차원의 공간과 1차원의 시간을 조합하여 4차원을 표현한다.- m=1일 때 맨하탄 거리와 같고 m=2일 때 유클리드 거리와 같다.- m이 정수가 아니어도 되지만 반드시 1보다 커야 한다. </t>
  </si>
  <si>
    <t>민코프스키(Minkowski) 거리</t>
  </si>
  <si>
    <t xml:space="preserve"> 변수의 표준화와 함께 변수 간의 상관성(분포 형태)를 동시에 고려한 통계적 거리입니다.</t>
  </si>
  <si>
    <t>마할라노비스 거리</t>
  </si>
  <si>
    <t>변수의 측정단위를 표준화한 거리입니다</t>
  </si>
  <si>
    <t>표준화 거리</t>
  </si>
  <si>
    <t>데이터 분석을 위한 데이터를 데이터 저장소인 DW(Data Warehouse) 및 DM(Data Mart)으로 이동시키기 위해 다양한 소스 시스템으로부터 필요한 원본 데이터를 추출하고 변환하여 적장하는 기술은 무엇인가?</t>
  </si>
  <si>
    <t>인공 신경망을 학습하는 데에 있어 은닉층 안의 일부 노드를 강제로 사용하지 않는 과정을 통해 과대 적합을 방지할 수 있는 기법</t>
  </si>
  <si>
    <t>(       )은/는 사용자의 의사결정에 도움을 주기 위하여 기간 시스템의 데이터베이스에 축적된 데이터를 공통 형식으로 변환해서 관리하는 데이터베이스이다.- 다양한 데이터 소스(Data source)로부터 데이터를 수집하여 ETL 과정을 거쳐 (       )에 저장한다.</t>
  </si>
  <si>
    <t>시계열 분석을 위해서는 만족해야 특성으로 시점에 상관없이 시계열의 특성이 일정하다는 성질은 무엇인가? (평균이 일정하고, 분산이 시점에 의존하지 않고, 공분산은 단지 시차에만 의존하고 시점 자체에는 의존하지 않는 특성 을 가진다.)</t>
  </si>
  <si>
    <t>소수 클래스에서 중심이 되는 데이터와 주변 데이터 사이에 가상의 직선을 만든 후, 그 위에 데이터를 추가하는 ​과대 표집(Over-Sampling) 방법은 무엇인가?</t>
  </si>
  <si>
    <t>SMOTE</t>
  </si>
  <si>
    <t xml:space="preserve">다음 괄호( ) 안에 들어갈 데이터 수집 기술은 무엇인가? - 공공데이터는 공공데이터 포털의 (   ) 또는 파일을 통해 수집한다. - (   )은/는 누구나 사용할 수 있도록 공개된 응용 프로그램 인터페이스이다.- (   )은/는 응용 프로그램을 통해 실시간으로 데이터를 수신할 수는 데이터 수집 기술이다.- 응용 프로그램 개발 시 외부 서비스가 ( )으로/로 제공되면 쉽게 연계할 수 있다.  예를 들어 날씨 정보, 항공 정보, 금융 정보 등과 관련된 최신 정보를 응용 프로그램에서 활용할 수 있다. </t>
  </si>
  <si>
    <t>(              )은/는 변수상에서 발생한 결측값이 다른 변수들과 아무런 상관이 없는 경우의 결측값이다.</t>
  </si>
  <si>
    <t>완전 무작위 결측(MCAR; Missing Completely At Random)</t>
  </si>
  <si>
    <t>전통적인 RDBMS와 다른 DBMS를 지칭하기 위한 용어로 데이터 저장에 고정된 테이블 스키마가 필요하지 않고 조인(Join) 연산을 사용할 수 없으며, 대규모 데이터를 저장할 수 있고, HBase, Cassandra 등의 제품이 있는 저장 기술은 무엇인가?</t>
  </si>
  <si>
    <t>NoSQL(Not Only SQL)</t>
  </si>
  <si>
    <t>인터넷상에서 제공되는 다양한 웹 사이트로부터 소셜 네트워크 정보, 뉴스, 게시판 등의 웹 문서 및 콘텐츠 수집 기술</t>
  </si>
  <si>
    <t>· 자료 그 자체가 아닌 자료의 속성 등을 설명하는 데이터이다. • 대표적으로 데이터에 관한 정보의 기술, 데이터 구성 의 정의, 데이터 분류 등을 위한 데이터 등이 있다.</t>
  </si>
  <si>
    <t>차원이 증가할수록 데이터의 분포 분석 또는 모델 추 정에 필요한 샘플 데이터의 개수가 기하급수적으로 증가 하게 되는 현상은 무엇인가?</t>
  </si>
  <si>
    <t>()은/는 모형을 세운 뒤 관찰 가능한 데이터 를 이용하여 해당 잠재 요인을 도출하고 데이터 안의 구조를 해석하는 기법이다. ( )은는 데이터 안에 관찰할 수 없는 잠재적 인 변수(Latent Variable)가 존재한다고 가정한다.</t>
  </si>
  <si>
    <t>• 각 독립변수를 이분화하는 과정을 반복하여 이진 트 리 형태를 형성함으로써 분류를 수행하는 알고리즘 이다. • 가장 성취도가 좋은 변수 및 수준을 찾는 것에 중점을 둔다. • 개별 입력변수뿐만 아니라 독립변수들의 선형 결합 중에서 최적의 분리를 구할 수 있다.</t>
  </si>
  <si>
    <t>CART 알고리즘</t>
  </si>
  <si>
    <t>단순 확률 대치법</t>
  </si>
  <si>
    <t>( )은 는 분류에 따른 변화를 최대, 최소, 전체 분포 등으로 구분하는 방법으로 전체에서 부분 간 관 계를 설명한다. ( )에는 파이 차트, 도넛 차트, 트리랩, 누적 영 역 차트가 있다.</t>
  </si>
  <si>
    <t>분포 시각화</t>
  </si>
  <si>
    <t>잔차의 분산이 독립변수와 무관하게 일정해야 한다는 특징은 무엇인가?</t>
  </si>
  <si>
    <t>등분산성</t>
  </si>
  <si>
    <t>모형을 가장 많이 향상시키는 변수를 하나씩 점진적 추가하는 전진 선택과 모두 포함된 상태에서 시작하여 가장 적은 영향을 주는 변수부터 하나씩 제거하는 후진 소거를 함께 사용하는 방법은 무엇인가?</t>
  </si>
  <si>
    <t>단계적 선택법</t>
  </si>
  <si>
    <t>다음은 K-평균 군집의 k 값 선정 기법에 대한 설명이 2 괄호( )안에 알맞은 기법을 쓰시오. ()은는 클러스터 내 오차제곱합이 최소가 되도록 클러스터의 중심을 결정해 나가는 방법이다. ()은/는 클러스터 개수를 늘렸을 때 중심 간 의 평균 거리가 더 이상 많이 감소하지 않는 경우의 k를 선택한다.</t>
  </si>
  <si>
    <t>엘보우 기법</t>
  </si>
  <si>
    <t>주로 마케팅에 활용되는 기법으로 고객 구매 데이터 하여 어떠한 상품이 또 다른 어떠한 상품과 함께 판매될 확률이 높은가를 보여주는 연관규칙을 도출하는 기법은 무엇인가?</t>
  </si>
  <si>
    <t>()은 는 모델 내부에서 확인이 가능한 변수로 데이터를 통해서 산출이 가능한 값이다. ()은/는 측정되거나 데이터로부터 학습되고 주로 사람에 의해 수작업으로 측정되지 않는다.</t>
  </si>
  <si>
    <t>파라미터</t>
  </si>
  <si>
    <t>()은/는 정답인 레이블(Label)이 포함되어 있는 훈련 데이터와 레이블(Label)이 없는 훈련 데이터 를 모두 훈련에 사용하는 학습 방법이다. /'레이블이 일부만 있어도 데이터를 다룰 수 있다./ 일반적으로 정답인 레이블이 포함된 훈련 데이터가 적고 정답인 레이블이 없는 훈련 데이터를 많이 갖고 있다.</t>
  </si>
  <si>
    <t>준지도학습</t>
  </si>
  <si>
    <t>( )는 정형, 반정형, 비정형 데이터를 비롯한 모든 가공되지 않은 다양한 종류의 데이터 (raw data) 를 저장할 수 있는 시스템 또는 중앙집중식 데이터 저장소이다</t>
  </si>
  <si>
    <t>()은는 웹상에 존재하는 데이터를 개별 URI로 식별하고, URI에 링크 정보를 부여함으로 상호 연결된 것을 지향하는 오픈 데이터이다.</t>
  </si>
  <si>
    <t>링크드 데이터 (linked data)</t>
  </si>
  <si>
    <t>()은는 데이터 분석을 위한 데이터를 데이터저장소인 DW 및 DM으로 이동시키기 위해 다양한 소스 시스템으로 부터 필요한 원본 데이터를 추출 하고 변환하는 기술이다.</t>
  </si>
  <si>
    <t>K개 소집단의 중심좌표를 이용하여 각 객체와 중심좌표 간의 거리를 산출하고, 가장 근접한 소집단에 배정한 후 해당 소집단의 중심좌표를 업데이트하는 방식으로 군집화 하는 방식은 무엇인가?</t>
  </si>
  <si>
    <t>K-평균 군집화</t>
  </si>
  <si>
    <t>( )은/는 데이터 분석의 목적으로 수집된 데이터를 확률 · 통계적으로 정리 · 요약하는 기초적인 통계 방법이다. • 평균, 분산, 표준편차, 왜도와 첨도빈도 등 데이터 에 대한 대략적인 통계적 수치를 계산하고 도출한다.</t>
  </si>
  <si>
    <t>( )은/는 데이터 현황 분석을 위한 자료 수집을 통해 잠재적 오류 징후를 발견하는 방법이다. ( )은/는 데이터의 저장, 연계, 가공, 활용 등 데이터의 변경이 발생하는 모든 영역에서 수행하여 오류를 사전에 파악할 수 있다.</t>
  </si>
  <si>
    <t>데이터 프로파일링</t>
  </si>
  <si>
    <t>불균형 데이터 처리를 위해 서로 같거나 서로 다른 여러 가지 모형들의 예측/분류 결과를 종합하여 최종적인 의사 결정에 활용하는 기법은 무엇인가?</t>
  </si>
  <si>
    <t>데이터 백업이나 통합 작업을 할 경우 최근 변경된 데이터들을 대상으로 다른 시스템으로 이동하는 처리 기술은 무엇인가?</t>
  </si>
  <si>
    <t>CDC</t>
  </si>
  <si>
    <t>선택 가능한 행동 중 보상을 최대화하는 행동 혹은 행동 순서를 선택하는 학습 방법이다. • 컴퓨터가 선택한 행동(Action)에 대한 반응에 따라 보상(Reward)이 주어진다. • 행동의 결과로 나타나는 보상을 통하여 학습을 진행 한다.</t>
  </si>
  <si>
    <t>강화학습</t>
  </si>
  <si>
    <t>기울기 방향으로 힘을 받으면 물체가 가속된다는 물리 법칙을 적용한 알고리즘으로, 관성의 방향을 고려해 진동과 폭을 줄이는 효과가 있고, 탐색 경로의 변위가 줄어들어 빠르게 최적 점으로 수렴하는 특성을 가진 알고리즘은 무엇인가?</t>
  </si>
  <si>
    <t>모멘텀</t>
  </si>
  <si>
    <t>개체들 사이의 유사성, 비유사성을 측정하여 2차원 또는 3차원 공간상에 점으로 표현하여 개체들 사이의 집단 화를 시각적으로 표현하는 분석방법은 무엇인가?</t>
  </si>
  <si>
    <t xml:space="preserve">의사결정나무를 개별 모형으로 사용하는 모형 결합 방법으로, 모든 독립변수를 비교하여 최선의 독립변수를 선택하는 것이 아니라 독립변수 차원을 랜덤하게 감소시킨 다음 그중에서 독립변수를 선택하는 방법은 무엇인가? </t>
  </si>
  <si>
    <t>( )은 는 특정 개인을 식별할 수 없도록 개인 정보의 일부 또는 전부를 변환하는 일련의 방법이다.</t>
  </si>
  <si>
    <t>비식별화</t>
  </si>
  <si>
    <t>()은 는 모델 자체에 변수 선택이 포함된 기법이다. / ()의 사례로는 라조, 릿지, 엘라스틱 넷. Select FromModel등이 있다.</t>
  </si>
  <si>
    <t>임베디드 방법</t>
  </si>
  <si>
    <t>프라이버시 보호 모델에서 주어진 데이터 집합에서 같은 값이 적어도 개 이상 존재하도록 하여 쉽게 다른 정보로 결합할 수 없도록 하는 모델은 무엇인가?</t>
  </si>
  <si>
    <t>K-익명성</t>
  </si>
  <si>
    <t xml:space="preserve"> () 은/는 개체들의 밀도(Density) 계산을 기반으로 밀접하게 분포된 개체들끼리 그룹핑하는 알고리즘이다. 클러스터의 개수를 미리 지정할 필요가 없고, 군집 밀도에 따라서 군집을 서로 연결하기 때문에 기하학 적인 모양의 군집 분석이 가능하다 . 중심점, 이웃점, 경계점, 잡음점 등으로 구분된다.</t>
  </si>
  <si>
    <t>DBSCAN</t>
  </si>
  <si>
    <t>( )은는 분류 모형의 성능을 평가하기 위해서 사용되는 그래프 분석 방법이다. -( )은/는 이익 곡선(Gain Curve), 리프트 곡선 (Lift Curve)이라고도 부른다.</t>
  </si>
  <si>
    <t>이익 도표</t>
  </si>
  <si>
    <t>데이터 정제 과정에서 처리해야 하는 값으로, 데이터가 정상의 범주에서 벗어난 값을 의미하는 것은 무엇인가?</t>
  </si>
  <si>
    <t>이상치</t>
  </si>
  <si>
    <t>결측값 처리를 위한 단순 대치법에서 관측 또는 실험 으로 얻어진 자료의 평균값으로 결측값을 대치하는 방법은?</t>
  </si>
  <si>
    <t>평균 대치법</t>
  </si>
  <si>
    <t>모델에서 외적인 요소로 데이터 분석을 통해 얻어지는 값이 아니라 사용자가 직접 설정해주거나 알고리즘 생성자가 직접 만드는 값은 무엇인가?</t>
  </si>
  <si>
    <t>다음이 설명하는 개념은 무엇인가?· 데이터에서 표식 (라벨)이 없는 경우가 많다. 예측의 문제보다는 주로 현상의 설명이나 특징추출. 패턴 도출 등의 문제에 사용된다. 대표적인 기법은 군집화 clustering), 차원 축소 기법 , 연관 관계 (장바구니) 분석, 자율학습 인공신경망의 기법이 있다.</t>
  </si>
  <si>
    <t>훈련 데이터에 대해서는 높은 성능을 보이지만 테스트 데이터에 대해서는 낮은 성능을 보이는 경우, 모델은 훈련 데이터를( )되었다고 한다. 괄호 ( )에 들어갈 알맞은 용어를 쓰시오.</t>
  </si>
  <si>
    <t>과대적합</t>
  </si>
  <si>
    <t>회귀 분석에서 전체 변수에서 시작하여 가장 적은 영향을 주는 변수를 하나씩 제거하는 방은 무엇인가?</t>
  </si>
  <si>
    <t>앙상블 분석에서 잘못 분류된 개체들에 가중치를 적용하여 새로운 분류 규칙을 만들고 이 과정을 반복해 최종 모형을 만드는 알고리즘은 무엇인가?</t>
  </si>
  <si>
    <t>앙상블 모형에서 다음이 설명하는 알고리즘은 무엇 인가? - 회귀 분류 모델링 사용되며 부스팅에 속한다. • 경사 하강법(Gradient Descent)을 이용하여 가중치 업데이트하여 최적화된 결과를 얻는 알고리즘이다.</t>
  </si>
  <si>
    <t>그래디언트부스팅</t>
  </si>
  <si>
    <t>인공신경망에서 은닉층 2개, 출력층 1개인 경우 출력 값은 얼마인가? · 마지막 은닉층의 값은 (0.2. -0.3)이다. • 첫 번째 노드의 가중치는 0.3. 두 번째 노드의 가중치는 0.1이다. • bias가 -0.05이고 활성화 함수는 (f(x) = x, x &gt; =0, x &lt; 0 경우 -1)이다.</t>
  </si>
  <si>
    <t>혼동 행렬의 가로와 세로축을 FPR(False Positive Rate), TPR(True Positive Rate)로 생성한 곡선은 무엇인가?</t>
  </si>
  <si>
    <t>빅데이터</t>
    <phoneticPr fontId="1" type="noConversion"/>
  </si>
  <si>
    <t>데이터</t>
    <phoneticPr fontId="1" type="noConversion"/>
  </si>
  <si>
    <t>정보</t>
    <phoneticPr fontId="1" type="noConversion"/>
  </si>
  <si>
    <t>지식</t>
    <phoneticPr fontId="1" type="noConversion"/>
  </si>
  <si>
    <t>지혜</t>
    <phoneticPr fontId="1" type="noConversion"/>
  </si>
  <si>
    <t>속도</t>
    <phoneticPr fontId="1" type="noConversion"/>
  </si>
  <si>
    <t>홀드 아웃</t>
    <phoneticPr fontId="1" type="noConversion"/>
  </si>
  <si>
    <t>데이터 사이언스</t>
    <phoneticPr fontId="1" type="noConversion"/>
  </si>
  <si>
    <t>가명처리</t>
    <phoneticPr fontId="1" type="noConversion"/>
  </si>
  <si>
    <t>앙상블</t>
    <phoneticPr fontId="1" type="noConversion"/>
  </si>
  <si>
    <t>유의 확률</t>
    <phoneticPr fontId="1" type="noConversion"/>
  </si>
  <si>
    <t>정량적 데이터</t>
    <phoneticPr fontId="1" type="noConversion"/>
  </si>
  <si>
    <t>불용어</t>
    <phoneticPr fontId="1" type="noConversion"/>
  </si>
  <si>
    <t>장바구니분석</t>
    <phoneticPr fontId="1" type="noConversion"/>
  </si>
  <si>
    <t>머신러닝</t>
    <phoneticPr fontId="1" type="noConversion"/>
  </si>
  <si>
    <t>감정분석</t>
    <phoneticPr fontId="1" type="noConversion"/>
  </si>
  <si>
    <t>회귀분석</t>
    <phoneticPr fontId="1" type="noConversion"/>
  </si>
  <si>
    <t>딥 러닝</t>
    <phoneticPr fontId="1" type="noConversion"/>
  </si>
  <si>
    <t>소셜 네트워크 분석</t>
    <phoneticPr fontId="1" type="noConversion"/>
  </si>
  <si>
    <t>하둡</t>
    <phoneticPr fontId="1" type="noConversion"/>
  </si>
  <si>
    <t>스키마</t>
    <phoneticPr fontId="1" type="noConversion"/>
  </si>
  <si>
    <t>답안</t>
  </si>
  <si>
    <t>답안</t>
    <phoneticPr fontId="1" type="noConversion"/>
  </si>
  <si>
    <t>확인</t>
    <phoneticPr fontId="1" type="noConversion"/>
  </si>
  <si>
    <t>정답지</t>
  </si>
  <si>
    <t>정답지</t>
    <phoneticPr fontId="1" type="noConversion"/>
  </si>
  <si>
    <t>순서바꾸기</t>
    <phoneticPr fontId="1" type="noConversion"/>
  </si>
  <si>
    <t>k-익명성</t>
    <phoneticPr fontId="1" type="noConversion"/>
  </si>
  <si>
    <t>NOSQL</t>
    <phoneticPr fontId="1" type="noConversion"/>
  </si>
  <si>
    <t>홀드아웃</t>
    <phoneticPr fontId="1" type="noConversion"/>
  </si>
  <si>
    <t>통계량</t>
    <phoneticPr fontId="1" type="noConversion"/>
  </si>
  <si>
    <t>중심극한정리</t>
    <phoneticPr fontId="1" type="noConversion"/>
  </si>
  <si>
    <t>데이터 마이닝</t>
    <phoneticPr fontId="1" type="noConversion"/>
  </si>
  <si>
    <t>익명화</t>
    <phoneticPr fontId="1" type="noConversion"/>
  </si>
  <si>
    <t>EDA</t>
    <phoneticPr fontId="1" type="noConversion"/>
  </si>
  <si>
    <t>디자인 사고</t>
    <phoneticPr fontId="1" type="noConversion"/>
  </si>
  <si>
    <t>2종 오류</t>
    <phoneticPr fontId="1" type="noConversion"/>
  </si>
  <si>
    <t>코사인 유사도</t>
    <phoneticPr fontId="1" type="noConversion"/>
  </si>
  <si>
    <t>ROC 커브</t>
    <phoneticPr fontId="1" type="noConversion"/>
  </si>
  <si>
    <t>t-sne</t>
    <phoneticPr fontId="1" type="noConversion"/>
  </si>
  <si>
    <t>svd</t>
    <phoneticPr fontId="1" type="noConversion"/>
  </si>
  <si>
    <t>이상값</t>
    <phoneticPr fontId="1" type="noConversion"/>
  </si>
  <si>
    <t>귀무가설</t>
    <phoneticPr fontId="1" type="noConversion"/>
  </si>
  <si>
    <t>말뭉치</t>
    <phoneticPr fontId="1" type="noConversion"/>
  </si>
  <si>
    <t>스태밍</t>
    <phoneticPr fontId="1" type="noConversion"/>
  </si>
  <si>
    <t>토큰화</t>
    <phoneticPr fontId="1" type="noConversion"/>
  </si>
  <si>
    <t>인포그래픽</t>
    <phoneticPr fontId="1" type="noConversion"/>
  </si>
  <si>
    <t>(1)오차, (2)잔차</t>
    <phoneticPr fontId="1" type="noConversion"/>
  </si>
  <si>
    <t>PCA</t>
    <phoneticPr fontId="1" type="noConversion"/>
  </si>
  <si>
    <t>재현율</t>
    <phoneticPr fontId="1" type="noConversion"/>
  </si>
  <si>
    <t>특이도</t>
    <phoneticPr fontId="1" type="noConversion"/>
  </si>
  <si>
    <t>OPEN API</t>
    <phoneticPr fontId="1" type="noConversion"/>
  </si>
  <si>
    <t>유의수준</t>
    <phoneticPr fontId="1" type="noConversion"/>
  </si>
  <si>
    <t>향상도</t>
    <phoneticPr fontId="1" type="noConversion"/>
  </si>
  <si>
    <t>결정계수</t>
    <phoneticPr fontId="1" type="noConversion"/>
  </si>
  <si>
    <t>F-분포</t>
    <phoneticPr fontId="1" type="noConversion"/>
  </si>
  <si>
    <t>나이브 베이즈</t>
    <phoneticPr fontId="1" type="noConversion"/>
  </si>
  <si>
    <t>데이터 웨어하우스</t>
    <phoneticPr fontId="1" type="noConversion"/>
  </si>
  <si>
    <t>첨도</t>
    <phoneticPr fontId="1" type="noConversion"/>
  </si>
  <si>
    <t>하향식 접근 방식</t>
    <phoneticPr fontId="1" type="noConversion"/>
  </si>
  <si>
    <t>SVM</t>
    <phoneticPr fontId="1" type="noConversion"/>
  </si>
  <si>
    <t>정확도</t>
    <phoneticPr fontId="1" type="noConversion"/>
  </si>
  <si>
    <t>(1)채택역, (2)기각역</t>
    <phoneticPr fontId="1" type="noConversion"/>
  </si>
  <si>
    <t>ESD</t>
    <phoneticPr fontId="1" type="noConversion"/>
  </si>
  <si>
    <t>활성화 함수</t>
    <phoneticPr fontId="1" type="noConversion"/>
  </si>
  <si>
    <t>1종 오류</t>
    <phoneticPr fontId="1" type="noConversion"/>
  </si>
  <si>
    <t>개인정보보호법</t>
    <phoneticPr fontId="1" type="noConversion"/>
  </si>
  <si>
    <t>참 부정률</t>
    <phoneticPr fontId="1" type="noConversion"/>
  </si>
  <si>
    <t>텍스트 마이닝</t>
    <phoneticPr fontId="1" type="noConversion"/>
  </si>
  <si>
    <t>모델링</t>
    <phoneticPr fontId="1" type="noConversion"/>
  </si>
  <si>
    <t>대립가설</t>
    <phoneticPr fontId="1" type="noConversion"/>
  </si>
  <si>
    <t>포아송분포</t>
    <phoneticPr fontId="1" type="noConversion"/>
  </si>
  <si>
    <t>정규성</t>
    <phoneticPr fontId="1" type="noConversion"/>
  </si>
  <si>
    <t>검정통계량</t>
    <phoneticPr fontId="1" type="noConversion"/>
  </si>
  <si>
    <t>혼동행렬</t>
    <phoneticPr fontId="1" type="noConversion"/>
  </si>
  <si>
    <t>데이터 거버넌스</t>
    <phoneticPr fontId="1" type="noConversion"/>
  </si>
  <si>
    <t>데이터 마트</t>
    <phoneticPr fontId="1" type="noConversion"/>
  </si>
  <si>
    <t>RELU</t>
    <phoneticPr fontId="1" type="noConversion"/>
  </si>
  <si>
    <t>IOT</t>
    <phoneticPr fontId="1" type="noConversion"/>
  </si>
  <si>
    <t>척와</t>
    <phoneticPr fontId="1" type="noConversion"/>
  </si>
  <si>
    <t>카프카</t>
    <phoneticPr fontId="1" type="noConversion"/>
  </si>
  <si>
    <t>AR모형</t>
    <phoneticPr fontId="1" type="noConversion"/>
  </si>
  <si>
    <t>왜도</t>
    <phoneticPr fontId="1" type="noConversion"/>
  </si>
  <si>
    <t>불편추정량</t>
    <phoneticPr fontId="1" type="noConversion"/>
  </si>
  <si>
    <t>모수</t>
    <phoneticPr fontId="1" type="noConversion"/>
  </si>
  <si>
    <t>스피어만 상관계수</t>
    <phoneticPr fontId="1" type="noConversion"/>
  </si>
  <si>
    <t>MA모형</t>
    <phoneticPr fontId="1" type="noConversion"/>
  </si>
  <si>
    <t>상향식 접근 방식</t>
    <phoneticPr fontId="1" type="noConversion"/>
  </si>
  <si>
    <t>F1-스코어</t>
    <phoneticPr fontId="1" type="noConversion"/>
  </si>
  <si>
    <t>정상 시계열</t>
    <phoneticPr fontId="1" type="noConversion"/>
  </si>
  <si>
    <t>집락추출</t>
    <phoneticPr fontId="1" type="noConversion"/>
  </si>
  <si>
    <t>층화 표본 추출</t>
    <phoneticPr fontId="1" type="noConversion"/>
  </si>
  <si>
    <t>층화 추출</t>
    <phoneticPr fontId="1" type="noConversion"/>
  </si>
  <si>
    <t>지도 학습</t>
    <phoneticPr fontId="1" type="noConversion"/>
  </si>
  <si>
    <t>마이 데이터</t>
    <phoneticPr fontId="1" type="noConversion"/>
  </si>
  <si>
    <t>T-분포</t>
    <phoneticPr fontId="1" type="noConversion"/>
  </si>
  <si>
    <t>전진 선택법</t>
    <phoneticPr fontId="1" type="noConversion"/>
  </si>
  <si>
    <t>개인정보보호법, 정보통신망법, 신용정보법</t>
    <phoneticPr fontId="1" type="noConversion"/>
  </si>
  <si>
    <t>샘플링</t>
    <phoneticPr fontId="1" type="noConversion"/>
  </si>
  <si>
    <t>상관 계수</t>
    <phoneticPr fontId="1" type="noConversion"/>
  </si>
  <si>
    <t>회귀나무</t>
    <phoneticPr fontId="1" type="noConversion"/>
  </si>
  <si>
    <t>과소적합</t>
    <phoneticPr fontId="1" type="noConversion"/>
  </si>
  <si>
    <t>과(대)적합</t>
    <phoneticPr fontId="1" type="noConversion"/>
  </si>
  <si>
    <t>KPI</t>
    <phoneticPr fontId="1" type="noConversion"/>
  </si>
  <si>
    <t>정보통신망법</t>
    <phoneticPr fontId="1" type="noConversion"/>
  </si>
  <si>
    <t>계통추출</t>
    <phoneticPr fontId="1" type="noConversion"/>
  </si>
  <si>
    <t>범위</t>
    <phoneticPr fontId="1" type="noConversion"/>
  </si>
  <si>
    <t>최소-최대(Min-Max) 정규화</t>
    <phoneticPr fontId="1" type="noConversion"/>
  </si>
  <si>
    <t>표본</t>
    <phoneticPr fontId="1" type="noConversion"/>
  </si>
  <si>
    <t>로짓 변환</t>
    <phoneticPr fontId="1" type="noConversion"/>
  </si>
  <si>
    <t>플럼</t>
    <phoneticPr fontId="1" type="noConversion"/>
  </si>
  <si>
    <t>비정형 데이터</t>
    <phoneticPr fontId="1" type="noConversion"/>
  </si>
  <si>
    <t>소프트맥스 함수</t>
    <phoneticPr fontId="1" type="noConversion"/>
  </si>
  <si>
    <t>기울기 소실 문제</t>
    <phoneticPr fontId="1" type="noConversion"/>
  </si>
  <si>
    <t>완전 무작위 결측</t>
    <phoneticPr fontId="1" type="noConversion"/>
  </si>
  <si>
    <t>블록체인</t>
    <phoneticPr fontId="1" type="noConversion"/>
  </si>
  <si>
    <t>분해시계열</t>
    <phoneticPr fontId="1" type="noConversion"/>
  </si>
  <si>
    <t>데이터 호수</t>
    <phoneticPr fontId="1" type="noConversion"/>
  </si>
  <si>
    <t>추론(추측) 통계</t>
    <phoneticPr fontId="1" type="noConversion"/>
  </si>
  <si>
    <t>분석 유스 케이스</t>
    <phoneticPr fontId="1" type="noConversion"/>
  </si>
  <si>
    <t>정형 데이터</t>
    <phoneticPr fontId="1" type="noConversion"/>
  </si>
  <si>
    <t>어노테이션</t>
    <phoneticPr fontId="1" type="noConversion"/>
  </si>
  <si>
    <t>다중 대체법</t>
    <phoneticPr fontId="1" type="noConversion"/>
  </si>
  <si>
    <t>부트스트랩</t>
    <phoneticPr fontId="1" type="noConversion"/>
  </si>
  <si>
    <t>소프트 스킬</t>
    <phoneticPr fontId="1" type="noConversion"/>
  </si>
  <si>
    <t>데이터 정제</t>
    <phoneticPr fontId="1" type="noConversion"/>
  </si>
  <si>
    <t>자유도</t>
    <phoneticPr fontId="1" type="noConversion"/>
  </si>
  <si>
    <t>스쿱</t>
    <phoneticPr fontId="1" type="noConversion"/>
  </si>
  <si>
    <t>맵리듀스</t>
    <phoneticPr fontId="1" type="noConversion"/>
  </si>
  <si>
    <t>데이터베이스</t>
    <phoneticPr fontId="1" type="noConversion"/>
  </si>
  <si>
    <t>나선형 모델</t>
    <phoneticPr fontId="1" type="noConversion"/>
  </si>
  <si>
    <t>비교 시각화</t>
    <phoneticPr fontId="1" type="noConversion"/>
  </si>
  <si>
    <t>군집분석</t>
    <phoneticPr fontId="1" type="noConversion"/>
  </si>
  <si>
    <t>검정력</t>
    <phoneticPr fontId="1" type="noConversion"/>
  </si>
  <si>
    <t>데이터 마스킹</t>
    <phoneticPr fontId="1" type="noConversion"/>
  </si>
  <si>
    <t>워드 클라우드</t>
    <phoneticPr fontId="1" type="noConversion"/>
  </si>
  <si>
    <t>데이터 범주화</t>
    <phoneticPr fontId="1" type="noConversion"/>
  </si>
  <si>
    <t>클라우드 컴퓨팅</t>
    <phoneticPr fontId="1" type="noConversion"/>
  </si>
  <si>
    <t>슬랙 변수</t>
    <phoneticPr fontId="1" type="noConversion"/>
  </si>
  <si>
    <t>유형 분석</t>
    <phoneticPr fontId="1" type="noConversion"/>
  </si>
  <si>
    <t>링크드 데이터</t>
    <phoneticPr fontId="1" type="noConversion"/>
  </si>
  <si>
    <t>데이터베이스 클러스터</t>
    <phoneticPr fontId="1" type="noConversion"/>
  </si>
  <si>
    <t>분산 파일 시스템</t>
    <phoneticPr fontId="1" type="noConversion"/>
  </si>
  <si>
    <t>유전 알고리즘</t>
    <phoneticPr fontId="1" type="noConversion"/>
  </si>
  <si>
    <t>플랫폼</t>
    <phoneticPr fontId="1" type="noConversion"/>
  </si>
  <si>
    <t>로보 어드바이저</t>
    <phoneticPr fontId="1" type="noConversion"/>
  </si>
  <si>
    <t>반정형 데이터</t>
    <phoneticPr fontId="1" type="noConversion"/>
  </si>
  <si>
    <t>총계처리</t>
    <phoneticPr fontId="1" type="noConversion"/>
  </si>
  <si>
    <t>공간 시각화</t>
    <phoneticPr fontId="1" type="noConversion"/>
  </si>
  <si>
    <t>단계적 방법</t>
    <phoneticPr fontId="1" type="noConversion"/>
  </si>
  <si>
    <t>하드 스킬</t>
    <phoneticPr fontId="1" type="noConversion"/>
  </si>
  <si>
    <t>전이학습</t>
    <phoneticPr fontId="1" type="noConversion"/>
  </si>
  <si>
    <t>데이터 시각화</t>
    <phoneticPr fontId="1" type="noConversion"/>
  </si>
  <si>
    <t>bi</t>
    <phoneticPr fontId="1" type="noConversion"/>
  </si>
  <si>
    <t>etl</t>
    <phoneticPr fontId="1" type="noConversion"/>
  </si>
  <si>
    <t>rdbms</t>
    <phoneticPr fontId="1" type="noConversion"/>
  </si>
  <si>
    <t>nosql</t>
    <phoneticPr fontId="1" type="noConversion"/>
  </si>
  <si>
    <t>som</t>
    <phoneticPr fontId="1" type="noConversion"/>
  </si>
  <si>
    <t>si</t>
    <phoneticPr fontId="1" type="noConversion"/>
  </si>
  <si>
    <t>crm</t>
    <phoneticPr fontId="1" type="noConversion"/>
  </si>
  <si>
    <t>l-다양성</t>
    <phoneticPr fontId="1" type="noConversion"/>
  </si>
  <si>
    <t>kpi</t>
    <phoneticPr fontId="1" type="noConversion"/>
  </si>
  <si>
    <t>em 알고리즘</t>
    <phoneticPr fontId="1" type="noConversion"/>
  </si>
  <si>
    <t>cdc</t>
    <phoneticPr fontId="1" type="noConversion"/>
  </si>
  <si>
    <t>smote</t>
    <phoneticPr fontId="1" type="noConversion"/>
  </si>
  <si>
    <t>scm</t>
    <phoneticPr fontId="1" type="noConversion"/>
  </si>
  <si>
    <t>k-평균 군집화 알고리즘</t>
    <phoneticPr fontId="1" type="noConversion"/>
  </si>
  <si>
    <t>knn</t>
    <phoneticPr fontId="1" type="noConversion"/>
  </si>
  <si>
    <t>t-접근성</t>
    <phoneticPr fontId="1" type="noConversion"/>
  </si>
  <si>
    <t>arima모형</t>
    <phoneticPr fontId="1" type="noConversion"/>
  </si>
  <si>
    <t>dbms</t>
    <phoneticPr fontId="1" type="noConversion"/>
  </si>
  <si>
    <t>olap</t>
    <phoneticPr fontId="1" type="noConversion"/>
  </si>
  <si>
    <t>erp</t>
    <phoneticPr fontId="1" type="noConversion"/>
  </si>
  <si>
    <t>cart 알고리즘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</si>
</sst>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name val="맑은 고딕"/>
      <family val="3"/>
      <charset val="129"/>
      <scheme val="minor"/>
    </font>
    <font>
      <sz val="9.9"/>
      <name val="맑은 고딕"/>
      <family val="3"/>
      <charset val="129"/>
      <scheme val="minor"/>
    </font>
    <font>
      <sz val="9.9"/>
      <name val="Arial"/>
      <family val="2"/>
    </font>
    <font>
      <sz val="9.9"/>
      <name val="맑은 고딕"/>
      <family val="2"/>
      <charset val="129"/>
    </font>
    <font>
      <sz val="9.9"/>
      <name val="Calibri"/>
      <family val="3"/>
      <charset val="161"/>
    </font>
    <font>
      <sz val="1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.9"/>
      <name val="Arial"/>
      <family val="3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8" fillId="0" borderId="0" xfId="0" applyFont="1">
      <alignment vertical="center"/>
    </xf>
    <xf numFmtId="0" fontId="0" fillId="2" borderId="0" xfId="0" applyFill="1">
      <alignment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1" fillId="0" borderId="0" xfId="0" applyFont="1">
      <alignment vertical="center"/>
    </xf>
    <xf numFmtId="0" fontId="0" fillId="0" borderId="0" xfId="0" applyNumberFormat="1" applyAlignment="1">
      <alignment vertical="center" shrinkToFit="1"/>
    </xf>
    <xf numFmtId="0" fontId="8" fillId="0" borderId="0" xfId="0" applyNumberFormat="1" applyFont="1" applyAlignment="1">
      <alignment vertical="center" shrinkToFit="1"/>
    </xf>
    <xf numFmtId="0" fontId="12" fillId="0" borderId="0" xfId="0" applyFont="1">
      <alignment vertical="center"/>
    </xf>
    <xf numFmtId="0" fontId="0" fillId="0" borderId="0" xfId="0" applyAlignment="1">
      <alignment vertical="center" shrinkToFit="1"/>
    </xf>
  </cellXfs>
  <cellStyles count="1">
    <cellStyle name="표준" xfId="0" builtinId="0"/>
  </cellStyles>
  <dxfs count="3"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11</xdr:row>
          <xdr:rowOff>137160</xdr:rowOff>
        </xdr:from>
        <xdr:to>
          <xdr:col>5</xdr:col>
          <xdr:colOff>396240</xdr:colOff>
          <xdr:row>14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새로운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문제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449580</xdr:colOff>
          <xdr:row>15</xdr:row>
          <xdr:rowOff>106680</xdr:rowOff>
        </xdr:from>
        <xdr:to>
          <xdr:col>5</xdr:col>
          <xdr:colOff>396240</xdr:colOff>
          <xdr:row>17</xdr:row>
          <xdr:rowOff>15240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답확인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</xdr:colOff>
          <xdr:row>17</xdr:row>
          <xdr:rowOff>137160</xdr:rowOff>
        </xdr:from>
        <xdr:to>
          <xdr:col>5</xdr:col>
          <xdr:colOff>388620</xdr:colOff>
          <xdr:row>19</xdr:row>
          <xdr:rowOff>45720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답제거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3A95-2EE0-42F7-A90B-93FC2A232CA4}">
  <sheetPr codeName="Sheet1"/>
  <dimension ref="A1:C268"/>
  <sheetViews>
    <sheetView topLeftCell="A168" workbookViewId="0">
      <selection activeCell="B176" sqref="B176"/>
    </sheetView>
  </sheetViews>
  <sheetFormatPr defaultColWidth="31" defaultRowHeight="17.399999999999999"/>
  <cols>
    <col min="1" max="1" width="119.296875" style="7" customWidth="1"/>
    <col min="2" max="2" width="27.5" style="7" customWidth="1"/>
  </cols>
  <sheetData>
    <row r="1" spans="1:2" ht="19.2">
      <c r="A1" s="1" t="s">
        <v>181</v>
      </c>
      <c r="B1" s="1" t="s">
        <v>0</v>
      </c>
    </row>
    <row r="2" spans="1:2">
      <c r="A2" s="2" t="s">
        <v>183</v>
      </c>
      <c r="B2" s="2" t="s">
        <v>1</v>
      </c>
    </row>
    <row r="3" spans="1:2">
      <c r="A3" s="2" t="s">
        <v>186</v>
      </c>
      <c r="B3" s="2" t="s">
        <v>2</v>
      </c>
    </row>
    <row r="4" spans="1:2">
      <c r="A4" s="2" t="s">
        <v>187</v>
      </c>
      <c r="B4" s="2" t="s">
        <v>3</v>
      </c>
    </row>
    <row r="5" spans="1:2">
      <c r="A5" s="2" t="s">
        <v>182</v>
      </c>
      <c r="B5" s="2" t="s">
        <v>4</v>
      </c>
    </row>
    <row r="6" spans="1:2">
      <c r="A6" s="2" t="s">
        <v>5</v>
      </c>
      <c r="B6" s="2" t="s">
        <v>6</v>
      </c>
    </row>
    <row r="7" spans="1:2" ht="31.2">
      <c r="A7" s="2" t="s">
        <v>188</v>
      </c>
      <c r="B7" s="3" t="s">
        <v>189</v>
      </c>
    </row>
    <row r="8" spans="1:2" ht="31.2">
      <c r="A8" s="2" t="s">
        <v>190</v>
      </c>
      <c r="B8" s="2" t="s">
        <v>191</v>
      </c>
    </row>
    <row r="9" spans="1:2">
      <c r="A9" s="2" t="s">
        <v>7</v>
      </c>
      <c r="B9" s="2" t="s">
        <v>8</v>
      </c>
    </row>
    <row r="10" spans="1:2">
      <c r="A10" s="2" t="s">
        <v>192</v>
      </c>
      <c r="B10" s="2" t="s">
        <v>9</v>
      </c>
    </row>
    <row r="11" spans="1:2" ht="31.2">
      <c r="A11" s="2" t="s">
        <v>193</v>
      </c>
      <c r="B11" s="2" t="s">
        <v>194</v>
      </c>
    </row>
    <row r="12" spans="1:2">
      <c r="A12" s="2" t="s">
        <v>10</v>
      </c>
      <c r="B12" s="2" t="s">
        <v>17</v>
      </c>
    </row>
    <row r="13" spans="1:2" ht="31.2">
      <c r="A13" s="2" t="s">
        <v>195</v>
      </c>
      <c r="B13" s="2" t="s">
        <v>18</v>
      </c>
    </row>
    <row r="14" spans="1:2">
      <c r="A14" s="2" t="s">
        <v>11</v>
      </c>
      <c r="B14" s="2" t="s">
        <v>19</v>
      </c>
    </row>
    <row r="15" spans="1:2">
      <c r="A15" s="2" t="s">
        <v>196</v>
      </c>
      <c r="B15" s="2" t="s">
        <v>20</v>
      </c>
    </row>
    <row r="16" spans="1:2" ht="31.2">
      <c r="A16" s="2" t="s">
        <v>197</v>
      </c>
      <c r="B16" s="2" t="s">
        <v>21</v>
      </c>
    </row>
    <row r="17" spans="1:2" ht="26.4">
      <c r="A17" s="12" t="s">
        <v>12</v>
      </c>
      <c r="B17" s="11" t="s">
        <v>184</v>
      </c>
    </row>
    <row r="18" spans="1:2" ht="31.2">
      <c r="A18" s="2" t="s">
        <v>198</v>
      </c>
      <c r="B18" s="2" t="s">
        <v>185</v>
      </c>
    </row>
    <row r="19" spans="1:2" ht="26.4">
      <c r="A19" s="2" t="s">
        <v>13</v>
      </c>
      <c r="B19" s="3" t="s">
        <v>22</v>
      </c>
    </row>
    <row r="20" spans="1:2">
      <c r="A20" s="2" t="s">
        <v>14</v>
      </c>
      <c r="B20" s="3" t="s">
        <v>23</v>
      </c>
    </row>
    <row r="21" spans="1:2" ht="28.8">
      <c r="A21" s="2" t="s">
        <v>199</v>
      </c>
      <c r="B21" s="3" t="s">
        <v>200</v>
      </c>
    </row>
    <row r="22" spans="1:2" ht="31.2">
      <c r="A22" s="2" t="s">
        <v>15</v>
      </c>
      <c r="B22" s="3" t="s">
        <v>201</v>
      </c>
    </row>
    <row r="23" spans="1:2">
      <c r="A23" s="2" t="s">
        <v>16</v>
      </c>
      <c r="B23" s="2" t="s">
        <v>24</v>
      </c>
    </row>
    <row r="24" spans="1:2">
      <c r="A24" s="2" t="s">
        <v>202</v>
      </c>
      <c r="B24" s="2" t="s">
        <v>25</v>
      </c>
    </row>
    <row r="25" spans="1:2">
      <c r="A25" s="2" t="s">
        <v>203</v>
      </c>
      <c r="B25" s="2" t="s">
        <v>26</v>
      </c>
    </row>
    <row r="26" spans="1:2" ht="31.2">
      <c r="A26" s="2" t="s">
        <v>204</v>
      </c>
      <c r="B26" s="2" t="s">
        <v>27</v>
      </c>
    </row>
    <row r="27" spans="1:2" ht="31.2">
      <c r="A27" s="3" t="s">
        <v>205</v>
      </c>
      <c r="B27" s="2" t="s">
        <v>206</v>
      </c>
    </row>
    <row r="28" spans="1:2">
      <c r="A28" s="2" t="s">
        <v>207</v>
      </c>
      <c r="B28" s="3" t="s">
        <v>208</v>
      </c>
    </row>
    <row r="29" spans="1:2">
      <c r="A29" s="2" t="s">
        <v>209</v>
      </c>
      <c r="B29" s="2" t="s">
        <v>28</v>
      </c>
    </row>
    <row r="30" spans="1:2">
      <c r="A30" s="2" t="s">
        <v>210</v>
      </c>
      <c r="B30" s="2" t="s">
        <v>29</v>
      </c>
    </row>
    <row r="31" spans="1:2" ht="26.4">
      <c r="A31" s="2" t="s">
        <v>30</v>
      </c>
      <c r="B31" s="8" t="s">
        <v>331</v>
      </c>
    </row>
    <row r="32" spans="1:2">
      <c r="A32" s="2" t="s">
        <v>211</v>
      </c>
      <c r="B32" s="2" t="s">
        <v>31</v>
      </c>
    </row>
    <row r="33" spans="1:2" ht="31.2">
      <c r="A33" s="2" t="s">
        <v>212</v>
      </c>
      <c r="B33" s="2" t="s">
        <v>32</v>
      </c>
    </row>
    <row r="34" spans="1:2">
      <c r="A34" s="2" t="s">
        <v>33</v>
      </c>
      <c r="B34" s="2" t="s">
        <v>34</v>
      </c>
    </row>
    <row r="35" spans="1:2">
      <c r="A35" s="2" t="s">
        <v>35</v>
      </c>
      <c r="B35" s="2" t="s">
        <v>36</v>
      </c>
    </row>
    <row r="36" spans="1:2" ht="26.4">
      <c r="A36" s="2" t="s">
        <v>37</v>
      </c>
      <c r="B36" s="3" t="s">
        <v>38</v>
      </c>
    </row>
    <row r="37" spans="1:2">
      <c r="A37" s="2" t="s">
        <v>39</v>
      </c>
      <c r="B37" s="2" t="s">
        <v>40</v>
      </c>
    </row>
    <row r="38" spans="1:2">
      <c r="A38" s="2" t="s">
        <v>213</v>
      </c>
      <c r="B38" s="3" t="s">
        <v>41</v>
      </c>
    </row>
    <row r="39" spans="1:2" ht="31.2">
      <c r="A39" s="3" t="s">
        <v>214</v>
      </c>
      <c r="B39" s="3" t="s">
        <v>42</v>
      </c>
    </row>
    <row r="40" spans="1:2" ht="26.4">
      <c r="A40" s="2" t="s">
        <v>43</v>
      </c>
      <c r="B40" s="3" t="s">
        <v>332</v>
      </c>
    </row>
    <row r="41" spans="1:2">
      <c r="A41" s="2" t="s">
        <v>44</v>
      </c>
      <c r="B41" s="2" t="s">
        <v>45</v>
      </c>
    </row>
    <row r="42" spans="1:2" ht="31.2">
      <c r="A42" s="2" t="s">
        <v>215</v>
      </c>
      <c r="B42" s="2" t="s">
        <v>46</v>
      </c>
    </row>
    <row r="43" spans="1:2" ht="31.2">
      <c r="A43" s="2" t="s">
        <v>216</v>
      </c>
      <c r="B43" s="2" t="s">
        <v>47</v>
      </c>
    </row>
    <row r="44" spans="1:2" ht="31.2">
      <c r="A44" s="2" t="s">
        <v>217</v>
      </c>
      <c r="B44" s="2" t="s">
        <v>48</v>
      </c>
    </row>
    <row r="45" spans="1:2">
      <c r="A45" s="2" t="s">
        <v>218</v>
      </c>
      <c r="B45" s="2" t="s">
        <v>49</v>
      </c>
    </row>
    <row r="46" spans="1:2" ht="31.2">
      <c r="A46" s="2" t="s">
        <v>219</v>
      </c>
      <c r="B46" s="2" t="s">
        <v>50</v>
      </c>
    </row>
    <row r="47" spans="1:2" ht="28.8">
      <c r="A47" s="2" t="s">
        <v>51</v>
      </c>
      <c r="B47" s="3" t="s">
        <v>333</v>
      </c>
    </row>
    <row r="48" spans="1:2" ht="31.2">
      <c r="A48" s="2" t="s">
        <v>220</v>
      </c>
      <c r="B48" s="2" t="s">
        <v>335</v>
      </c>
    </row>
    <row r="49" spans="1:2">
      <c r="A49" s="2" t="s">
        <v>52</v>
      </c>
      <c r="B49" s="2" t="s">
        <v>334</v>
      </c>
    </row>
    <row r="50" spans="1:2" ht="31.2">
      <c r="A50" s="2" t="s">
        <v>53</v>
      </c>
      <c r="B50" s="3" t="s">
        <v>221</v>
      </c>
    </row>
    <row r="51" spans="1:2">
      <c r="A51" s="2" t="s">
        <v>54</v>
      </c>
      <c r="B51" s="2" t="s">
        <v>55</v>
      </c>
    </row>
    <row r="52" spans="1:2">
      <c r="A52" s="2" t="s">
        <v>56</v>
      </c>
      <c r="B52" s="2" t="s">
        <v>57</v>
      </c>
    </row>
    <row r="53" spans="1:2">
      <c r="A53" s="2" t="s">
        <v>58</v>
      </c>
      <c r="B53" s="2" t="s">
        <v>59</v>
      </c>
    </row>
    <row r="54" spans="1:2">
      <c r="A54" s="2" t="s">
        <v>222</v>
      </c>
      <c r="B54" s="2" t="s">
        <v>60</v>
      </c>
    </row>
    <row r="55" spans="1:2">
      <c r="A55" s="2" t="s">
        <v>61</v>
      </c>
      <c r="B55" s="2" t="s">
        <v>223</v>
      </c>
    </row>
    <row r="56" spans="1:2">
      <c r="A56" s="2" t="s">
        <v>62</v>
      </c>
      <c r="B56" s="2" t="s">
        <v>63</v>
      </c>
    </row>
    <row r="57" spans="1:2">
      <c r="A57" s="2" t="s">
        <v>224</v>
      </c>
      <c r="B57" s="2" t="s">
        <v>225</v>
      </c>
    </row>
    <row r="58" spans="1:2">
      <c r="A58" s="2" t="s">
        <v>64</v>
      </c>
      <c r="B58" s="2" t="s">
        <v>65</v>
      </c>
    </row>
    <row r="59" spans="1:2">
      <c r="A59" s="2" t="s">
        <v>226</v>
      </c>
      <c r="B59" s="2" t="s">
        <v>66</v>
      </c>
    </row>
    <row r="60" spans="1:2" ht="31.2">
      <c r="A60" s="2" t="s">
        <v>227</v>
      </c>
      <c r="B60" s="2" t="s">
        <v>67</v>
      </c>
    </row>
    <row r="61" spans="1:2">
      <c r="A61" s="2" t="s">
        <v>68</v>
      </c>
      <c r="B61" s="2" t="s">
        <v>69</v>
      </c>
    </row>
    <row r="62" spans="1:2">
      <c r="A62" s="2" t="s">
        <v>228</v>
      </c>
      <c r="B62" s="2" t="s">
        <v>70</v>
      </c>
    </row>
    <row r="63" spans="1:2">
      <c r="A63" s="2" t="s">
        <v>229</v>
      </c>
      <c r="B63" s="2" t="s">
        <v>71</v>
      </c>
    </row>
    <row r="64" spans="1:2">
      <c r="A64" s="2" t="s">
        <v>230</v>
      </c>
      <c r="B64" s="2" t="s">
        <v>72</v>
      </c>
    </row>
    <row r="65" spans="1:2">
      <c r="A65" s="2" t="s">
        <v>357</v>
      </c>
      <c r="B65" s="2" t="s">
        <v>73</v>
      </c>
    </row>
    <row r="66" spans="1:2">
      <c r="A66" s="2" t="s">
        <v>74</v>
      </c>
      <c r="B66" s="2" t="s">
        <v>75</v>
      </c>
    </row>
    <row r="67" spans="1:2">
      <c r="A67" s="2" t="s">
        <v>231</v>
      </c>
      <c r="B67" s="2" t="s">
        <v>232</v>
      </c>
    </row>
    <row r="68" spans="1:2">
      <c r="A68" s="2" t="s">
        <v>76</v>
      </c>
      <c r="B68" s="3" t="s">
        <v>233</v>
      </c>
    </row>
    <row r="69" spans="1:2">
      <c r="A69" s="2" t="s">
        <v>77</v>
      </c>
      <c r="B69" s="3" t="s">
        <v>234</v>
      </c>
    </row>
    <row r="70" spans="1:2">
      <c r="A70" s="2" t="s">
        <v>78</v>
      </c>
      <c r="B70" s="2" t="s">
        <v>79</v>
      </c>
    </row>
    <row r="71" spans="1:2" ht="31.2">
      <c r="A71" s="2" t="s">
        <v>235</v>
      </c>
      <c r="B71" s="3" t="s">
        <v>336</v>
      </c>
    </row>
    <row r="72" spans="1:2">
      <c r="A72" s="2" t="s">
        <v>236</v>
      </c>
      <c r="B72" s="2" t="s">
        <v>80</v>
      </c>
    </row>
    <row r="73" spans="1:2">
      <c r="A73" s="2" t="s">
        <v>81</v>
      </c>
      <c r="B73" s="2" t="s">
        <v>237</v>
      </c>
    </row>
    <row r="74" spans="1:2">
      <c r="A74" s="2" t="s">
        <v>82</v>
      </c>
      <c r="B74" s="2" t="s">
        <v>83</v>
      </c>
    </row>
    <row r="75" spans="1:2">
      <c r="A75" s="2" t="s">
        <v>238</v>
      </c>
      <c r="B75" s="2" t="s">
        <v>239</v>
      </c>
    </row>
    <row r="76" spans="1:2">
      <c r="A76" s="2" t="s">
        <v>84</v>
      </c>
      <c r="B76" s="2" t="s">
        <v>85</v>
      </c>
    </row>
    <row r="77" spans="1:2" ht="31.2">
      <c r="A77" s="2" t="s">
        <v>240</v>
      </c>
      <c r="B77" s="2" t="s">
        <v>86</v>
      </c>
    </row>
    <row r="78" spans="1:2" ht="31.2">
      <c r="A78" s="2" t="s">
        <v>241</v>
      </c>
      <c r="B78" s="2" t="s">
        <v>242</v>
      </c>
    </row>
    <row r="79" spans="1:2">
      <c r="A79" s="2" t="s">
        <v>243</v>
      </c>
      <c r="B79" s="3" t="s">
        <v>337</v>
      </c>
    </row>
    <row r="80" spans="1:2" ht="31.2">
      <c r="A80" s="2" t="s">
        <v>244</v>
      </c>
      <c r="B80" s="2" t="s">
        <v>87</v>
      </c>
    </row>
    <row r="81" spans="1:2" ht="31.2">
      <c r="A81" s="2" t="s">
        <v>245</v>
      </c>
      <c r="B81" s="2" t="s">
        <v>88</v>
      </c>
    </row>
    <row r="82" spans="1:2" ht="31.2">
      <c r="A82" s="2" t="s">
        <v>246</v>
      </c>
      <c r="B82" s="2" t="s">
        <v>338</v>
      </c>
    </row>
    <row r="83" spans="1:2">
      <c r="A83" s="2" t="s">
        <v>89</v>
      </c>
      <c r="B83" s="2" t="s">
        <v>90</v>
      </c>
    </row>
    <row r="84" spans="1:2">
      <c r="A84" s="2" t="s">
        <v>91</v>
      </c>
      <c r="B84" s="2" t="s">
        <v>92</v>
      </c>
    </row>
    <row r="85" spans="1:2">
      <c r="A85" s="3" t="s">
        <v>247</v>
      </c>
      <c r="B85" s="2" t="s">
        <v>93</v>
      </c>
    </row>
    <row r="86" spans="1:2">
      <c r="A86" s="2" t="s">
        <v>248</v>
      </c>
      <c r="B86" s="2" t="s">
        <v>249</v>
      </c>
    </row>
    <row r="87" spans="1:2">
      <c r="A87" s="2" t="s">
        <v>250</v>
      </c>
      <c r="B87" s="2" t="s">
        <v>251</v>
      </c>
    </row>
    <row r="88" spans="1:2">
      <c r="A88" s="2" t="s">
        <v>252</v>
      </c>
      <c r="B88" s="2" t="s">
        <v>94</v>
      </c>
    </row>
    <row r="89" spans="1:2">
      <c r="A89" s="2" t="s">
        <v>253</v>
      </c>
      <c r="B89" s="3" t="s">
        <v>254</v>
      </c>
    </row>
    <row r="90" spans="1:2" ht="46.8">
      <c r="A90" s="2" t="s">
        <v>255</v>
      </c>
      <c r="B90" s="2" t="s">
        <v>95</v>
      </c>
    </row>
    <row r="91" spans="1:2" ht="31.2">
      <c r="A91" s="2" t="s">
        <v>256</v>
      </c>
      <c r="B91" s="2" t="s">
        <v>96</v>
      </c>
    </row>
    <row r="92" spans="1:2">
      <c r="A92" s="2" t="s">
        <v>257</v>
      </c>
      <c r="B92" s="2" t="s">
        <v>97</v>
      </c>
    </row>
    <row r="93" spans="1:2">
      <c r="A93" s="2" t="s">
        <v>258</v>
      </c>
      <c r="B93" s="2" t="s">
        <v>98</v>
      </c>
    </row>
    <row r="94" spans="1:2">
      <c r="A94" s="2" t="s">
        <v>259</v>
      </c>
      <c r="B94" s="2" t="s">
        <v>99</v>
      </c>
    </row>
    <row r="95" spans="1:2">
      <c r="A95" s="2" t="s">
        <v>100</v>
      </c>
      <c r="B95" s="2" t="s">
        <v>101</v>
      </c>
    </row>
    <row r="96" spans="1:2">
      <c r="A96" s="2" t="s">
        <v>102</v>
      </c>
      <c r="B96" s="2" t="s">
        <v>339</v>
      </c>
    </row>
    <row r="97" spans="1:2" ht="31.2">
      <c r="A97" s="2" t="s">
        <v>260</v>
      </c>
      <c r="B97" s="2" t="s">
        <v>341</v>
      </c>
    </row>
    <row r="98" spans="1:2">
      <c r="A98" s="2" t="s">
        <v>261</v>
      </c>
      <c r="B98" s="3" t="s">
        <v>103</v>
      </c>
    </row>
    <row r="99" spans="1:2">
      <c r="A99" s="2" t="s">
        <v>262</v>
      </c>
      <c r="B99" s="2" t="s">
        <v>104</v>
      </c>
    </row>
    <row r="100" spans="1:2">
      <c r="A100" s="2" t="s">
        <v>263</v>
      </c>
      <c r="B100" s="2" t="s">
        <v>105</v>
      </c>
    </row>
    <row r="101" spans="1:2">
      <c r="A101" s="2" t="s">
        <v>264</v>
      </c>
      <c r="B101" s="2" t="s">
        <v>106</v>
      </c>
    </row>
    <row r="102" spans="1:2">
      <c r="A102" s="2" t="s">
        <v>265</v>
      </c>
      <c r="B102" s="2" t="s">
        <v>107</v>
      </c>
    </row>
    <row r="103" spans="1:2">
      <c r="A103" s="2" t="s">
        <v>266</v>
      </c>
      <c r="B103" s="2" t="s">
        <v>108</v>
      </c>
    </row>
    <row r="104" spans="1:2" ht="31.2">
      <c r="A104" s="2" t="s">
        <v>267</v>
      </c>
      <c r="B104" s="2" t="s">
        <v>515</v>
      </c>
    </row>
    <row r="105" spans="1:2">
      <c r="A105" s="2" t="s">
        <v>268</v>
      </c>
      <c r="B105" s="2" t="s">
        <v>109</v>
      </c>
    </row>
    <row r="106" spans="1:2" ht="31.2">
      <c r="A106" s="2" t="s">
        <v>269</v>
      </c>
      <c r="B106" s="2" t="s">
        <v>110</v>
      </c>
    </row>
    <row r="107" spans="1:2" ht="46.8">
      <c r="A107" s="2" t="s">
        <v>340</v>
      </c>
      <c r="B107" s="2" t="s">
        <v>111</v>
      </c>
    </row>
    <row r="108" spans="1:2">
      <c r="A108" s="2" t="s">
        <v>270</v>
      </c>
      <c r="B108" s="2" t="s">
        <v>112</v>
      </c>
    </row>
    <row r="109" spans="1:2">
      <c r="A109" s="2" t="s">
        <v>271</v>
      </c>
      <c r="B109" s="2" t="s">
        <v>113</v>
      </c>
    </row>
    <row r="110" spans="1:2">
      <c r="A110" s="2" t="s">
        <v>272</v>
      </c>
      <c r="B110" s="4" t="s">
        <v>114</v>
      </c>
    </row>
    <row r="111" spans="1:2">
      <c r="A111" s="2" t="s">
        <v>273</v>
      </c>
      <c r="B111" s="2" t="s">
        <v>115</v>
      </c>
    </row>
    <row r="112" spans="1:2" ht="31.2">
      <c r="A112" s="2" t="s">
        <v>274</v>
      </c>
      <c r="B112" s="2" t="s">
        <v>116</v>
      </c>
    </row>
    <row r="113" spans="1:2" ht="31.2">
      <c r="A113" s="2" t="s">
        <v>275</v>
      </c>
      <c r="B113" s="2" t="s">
        <v>117</v>
      </c>
    </row>
    <row r="114" spans="1:2">
      <c r="A114" s="2" t="s">
        <v>276</v>
      </c>
      <c r="B114" s="2" t="s">
        <v>118</v>
      </c>
    </row>
    <row r="115" spans="1:2">
      <c r="A115" s="2" t="s">
        <v>277</v>
      </c>
      <c r="B115" s="2" t="s">
        <v>278</v>
      </c>
    </row>
    <row r="116" spans="1:2" ht="31.2">
      <c r="A116" s="2" t="s">
        <v>279</v>
      </c>
      <c r="B116" s="2" t="s">
        <v>119</v>
      </c>
    </row>
    <row r="117" spans="1:2">
      <c r="A117" s="2" t="s">
        <v>120</v>
      </c>
      <c r="B117" s="2" t="s">
        <v>356</v>
      </c>
    </row>
    <row r="118" spans="1:2">
      <c r="A118" s="2" t="s">
        <v>280</v>
      </c>
      <c r="B118" s="2" t="s">
        <v>121</v>
      </c>
    </row>
    <row r="119" spans="1:2">
      <c r="A119" s="2" t="s">
        <v>122</v>
      </c>
      <c r="B119" s="2" t="s">
        <v>123</v>
      </c>
    </row>
    <row r="120" spans="1:2">
      <c r="A120" s="2" t="s">
        <v>124</v>
      </c>
      <c r="B120" s="2" t="s">
        <v>125</v>
      </c>
    </row>
    <row r="121" spans="1:2">
      <c r="A121" s="2" t="s">
        <v>126</v>
      </c>
      <c r="B121" s="2" t="s">
        <v>127</v>
      </c>
    </row>
    <row r="122" spans="1:2">
      <c r="A122" s="2" t="s">
        <v>128</v>
      </c>
      <c r="B122" s="2" t="s">
        <v>129</v>
      </c>
    </row>
    <row r="123" spans="1:2">
      <c r="A123" s="2" t="s">
        <v>130</v>
      </c>
      <c r="B123" s="2" t="s">
        <v>131</v>
      </c>
    </row>
    <row r="124" spans="1:2">
      <c r="A124" s="2" t="s">
        <v>132</v>
      </c>
      <c r="B124" s="2" t="s">
        <v>133</v>
      </c>
    </row>
    <row r="125" spans="1:2">
      <c r="A125" s="2" t="s">
        <v>134</v>
      </c>
      <c r="B125" s="2" t="s">
        <v>135</v>
      </c>
    </row>
    <row r="126" spans="1:2" ht="31.2">
      <c r="A126" s="2" t="s">
        <v>281</v>
      </c>
      <c r="B126" s="2" t="s">
        <v>136</v>
      </c>
    </row>
    <row r="127" spans="1:2">
      <c r="A127" s="2" t="s">
        <v>137</v>
      </c>
      <c r="B127" s="2" t="s">
        <v>138</v>
      </c>
    </row>
    <row r="128" spans="1:2" ht="31.2">
      <c r="A128" s="2" t="s">
        <v>282</v>
      </c>
      <c r="B128" s="2" t="s">
        <v>139</v>
      </c>
    </row>
    <row r="129" spans="1:2">
      <c r="A129" s="2" t="s">
        <v>140</v>
      </c>
      <c r="B129" s="2" t="s">
        <v>141</v>
      </c>
    </row>
    <row r="130" spans="1:2">
      <c r="A130" s="2" t="s">
        <v>142</v>
      </c>
      <c r="B130" s="2" t="s">
        <v>143</v>
      </c>
    </row>
    <row r="131" spans="1:2">
      <c r="A131" s="2" t="s">
        <v>144</v>
      </c>
      <c r="B131" s="2" t="s">
        <v>145</v>
      </c>
    </row>
    <row r="132" spans="1:2">
      <c r="A132" s="5" t="s">
        <v>146</v>
      </c>
      <c r="B132" s="6" t="s">
        <v>147</v>
      </c>
    </row>
    <row r="133" spans="1:2" ht="31.2">
      <c r="A133" s="2" t="s">
        <v>283</v>
      </c>
      <c r="B133" s="2" t="s">
        <v>148</v>
      </c>
    </row>
    <row r="134" spans="1:2" ht="31.2">
      <c r="A134" s="2" t="s">
        <v>284</v>
      </c>
      <c r="B134" s="2" t="s">
        <v>149</v>
      </c>
    </row>
    <row r="135" spans="1:2">
      <c r="A135" s="3" t="s">
        <v>285</v>
      </c>
      <c r="B135" s="3" t="s">
        <v>286</v>
      </c>
    </row>
    <row r="136" spans="1:2">
      <c r="A136" s="2" t="s">
        <v>287</v>
      </c>
      <c r="B136" s="2" t="s">
        <v>150</v>
      </c>
    </row>
    <row r="137" spans="1:2" ht="31.2">
      <c r="A137" s="2" t="s">
        <v>288</v>
      </c>
      <c r="B137" s="3" t="s">
        <v>342</v>
      </c>
    </row>
    <row r="138" spans="1:2" ht="31.2">
      <c r="A138" s="2" t="s">
        <v>289</v>
      </c>
      <c r="B138" s="2" t="s">
        <v>151</v>
      </c>
    </row>
    <row r="139" spans="1:2">
      <c r="A139" s="2" t="s">
        <v>290</v>
      </c>
      <c r="B139" s="3" t="s">
        <v>291</v>
      </c>
    </row>
    <row r="140" spans="1:2" ht="31.2">
      <c r="A140" s="2" t="s">
        <v>292</v>
      </c>
      <c r="B140" s="3" t="s">
        <v>344</v>
      </c>
    </row>
    <row r="141" spans="1:2">
      <c r="A141" s="3" t="s">
        <v>293</v>
      </c>
      <c r="B141" s="3" t="s">
        <v>343</v>
      </c>
    </row>
    <row r="142" spans="1:2">
      <c r="A142" s="2" t="s">
        <v>294</v>
      </c>
      <c r="B142" s="3" t="s">
        <v>345</v>
      </c>
    </row>
    <row r="143" spans="1:2">
      <c r="A143" s="2" t="s">
        <v>295</v>
      </c>
      <c r="B143" s="2" t="s">
        <v>152</v>
      </c>
    </row>
    <row r="144" spans="1:2">
      <c r="A144" s="2" t="s">
        <v>296</v>
      </c>
      <c r="B144" s="3" t="s">
        <v>346</v>
      </c>
    </row>
    <row r="145" spans="1:2" ht="31.2">
      <c r="A145" s="2" t="s">
        <v>297</v>
      </c>
      <c r="B145" s="3" t="s">
        <v>298</v>
      </c>
    </row>
    <row r="146" spans="1:2">
      <c r="A146" s="2" t="s">
        <v>299</v>
      </c>
      <c r="B146" s="2" t="s">
        <v>153</v>
      </c>
    </row>
    <row r="147" spans="1:2" ht="31.2">
      <c r="A147" s="2" t="s">
        <v>300</v>
      </c>
      <c r="B147" s="3" t="s">
        <v>347</v>
      </c>
    </row>
    <row r="148" spans="1:2">
      <c r="A148" s="2" t="s">
        <v>301</v>
      </c>
      <c r="B148" s="2" t="s">
        <v>154</v>
      </c>
    </row>
    <row r="149" spans="1:2" ht="31.2">
      <c r="A149" s="2" t="s">
        <v>302</v>
      </c>
      <c r="B149" s="2" t="s">
        <v>155</v>
      </c>
    </row>
    <row r="150" spans="1:2" ht="31.2">
      <c r="A150" s="2" t="s">
        <v>303</v>
      </c>
      <c r="B150" s="2" t="s">
        <v>156</v>
      </c>
    </row>
    <row r="151" spans="1:2">
      <c r="A151" s="2" t="s">
        <v>304</v>
      </c>
      <c r="B151" s="2" t="s">
        <v>157</v>
      </c>
    </row>
    <row r="152" spans="1:2" ht="31.2">
      <c r="A152" s="2" t="s">
        <v>158</v>
      </c>
      <c r="B152" s="2" t="s">
        <v>159</v>
      </c>
    </row>
    <row r="153" spans="1:2" ht="46.8">
      <c r="A153" s="2" t="s">
        <v>305</v>
      </c>
      <c r="B153" s="2" t="s">
        <v>160</v>
      </c>
    </row>
    <row r="154" spans="1:2">
      <c r="A154" s="2" t="s">
        <v>306</v>
      </c>
      <c r="B154" s="2" t="s">
        <v>307</v>
      </c>
    </row>
    <row r="155" spans="1:2" ht="31.2">
      <c r="A155" s="2" t="s">
        <v>308</v>
      </c>
      <c r="B155" s="2" t="s">
        <v>161</v>
      </c>
    </row>
    <row r="156" spans="1:2">
      <c r="A156" s="2" t="s">
        <v>309</v>
      </c>
      <c r="B156" s="2" t="s">
        <v>162</v>
      </c>
    </row>
    <row r="157" spans="1:2" ht="31.2">
      <c r="A157" s="2" t="s">
        <v>310</v>
      </c>
      <c r="B157" s="2" t="s">
        <v>348</v>
      </c>
    </row>
    <row r="158" spans="1:2" ht="46.8">
      <c r="A158" s="2" t="s">
        <v>311</v>
      </c>
      <c r="B158" s="2" t="s">
        <v>163</v>
      </c>
    </row>
    <row r="159" spans="1:2" ht="31.2">
      <c r="A159" s="2" t="s">
        <v>358</v>
      </c>
      <c r="B159" s="2" t="s">
        <v>164</v>
      </c>
    </row>
    <row r="160" spans="1:2" ht="46.8">
      <c r="A160" s="2" t="s">
        <v>312</v>
      </c>
      <c r="B160" s="2" t="s">
        <v>349</v>
      </c>
    </row>
    <row r="161" spans="1:2" ht="31.2">
      <c r="A161" s="2" t="s">
        <v>313</v>
      </c>
      <c r="B161" s="2" t="s">
        <v>350</v>
      </c>
    </row>
    <row r="162" spans="1:2" ht="46.8">
      <c r="A162" s="2" t="s">
        <v>314</v>
      </c>
      <c r="B162" s="2" t="s">
        <v>351</v>
      </c>
    </row>
    <row r="163" spans="1:2">
      <c r="A163" s="2" t="s">
        <v>165</v>
      </c>
      <c r="B163" s="2" t="s">
        <v>352</v>
      </c>
    </row>
    <row r="164" spans="1:2">
      <c r="A164" s="3" t="s">
        <v>315</v>
      </c>
      <c r="B164" s="3" t="s">
        <v>316</v>
      </c>
    </row>
    <row r="165" spans="1:2">
      <c r="A165" s="2" t="s">
        <v>166</v>
      </c>
      <c r="B165" s="3" t="s">
        <v>317</v>
      </c>
    </row>
    <row r="166" spans="1:2">
      <c r="A166" s="2" t="s">
        <v>318</v>
      </c>
      <c r="B166" s="2" t="s">
        <v>167</v>
      </c>
    </row>
    <row r="167" spans="1:2">
      <c r="A167" s="2" t="s">
        <v>319</v>
      </c>
      <c r="B167" s="2" t="s">
        <v>168</v>
      </c>
    </row>
    <row r="168" spans="1:2">
      <c r="A168" s="2" t="s">
        <v>359</v>
      </c>
      <c r="B168" s="2" t="s">
        <v>360</v>
      </c>
    </row>
    <row r="169" spans="1:2">
      <c r="A169" s="2" t="s">
        <v>169</v>
      </c>
      <c r="B169" s="2" t="s">
        <v>170</v>
      </c>
    </row>
    <row r="170" spans="1:2">
      <c r="A170" s="2" t="s">
        <v>320</v>
      </c>
      <c r="B170" s="2" t="s">
        <v>171</v>
      </c>
    </row>
    <row r="171" spans="1:2" ht="46.8">
      <c r="A171" s="2" t="s">
        <v>321</v>
      </c>
      <c r="B171" s="2" t="s">
        <v>172</v>
      </c>
    </row>
    <row r="172" spans="1:2" ht="31.2">
      <c r="A172" s="2" t="s">
        <v>322</v>
      </c>
      <c r="B172" s="3" t="s">
        <v>323</v>
      </c>
    </row>
    <row r="173" spans="1:2">
      <c r="A173" s="2" t="s">
        <v>173</v>
      </c>
      <c r="B173" s="2" t="s">
        <v>174</v>
      </c>
    </row>
    <row r="174" spans="1:2">
      <c r="A174" s="2" t="s">
        <v>175</v>
      </c>
      <c r="B174" s="2" t="s">
        <v>176</v>
      </c>
    </row>
    <row r="175" spans="1:2">
      <c r="A175" s="2" t="s">
        <v>324</v>
      </c>
      <c r="B175" s="2" t="s">
        <v>353</v>
      </c>
    </row>
    <row r="176" spans="1:2">
      <c r="A176" s="2" t="s">
        <v>177</v>
      </c>
      <c r="B176" s="3" t="s">
        <v>354</v>
      </c>
    </row>
    <row r="177" spans="1:3">
      <c r="A177" s="2" t="s">
        <v>325</v>
      </c>
      <c r="B177" s="2" t="s">
        <v>178</v>
      </c>
    </row>
    <row r="178" spans="1:3">
      <c r="A178" s="2" t="s">
        <v>326</v>
      </c>
      <c r="B178" s="2" t="s">
        <v>179</v>
      </c>
    </row>
    <row r="179" spans="1:3" ht="31.2">
      <c r="A179" s="2" t="s">
        <v>327</v>
      </c>
      <c r="B179" s="2" t="s">
        <v>355</v>
      </c>
    </row>
    <row r="180" spans="1:3">
      <c r="A180" s="2" t="s">
        <v>328</v>
      </c>
      <c r="B180" s="3" t="s">
        <v>329</v>
      </c>
    </row>
    <row r="181" spans="1:3">
      <c r="A181" s="2" t="s">
        <v>180</v>
      </c>
      <c r="B181" s="3" t="s">
        <v>330</v>
      </c>
    </row>
    <row r="182" spans="1:3">
      <c r="A182" s="7" t="s">
        <v>362</v>
      </c>
      <c r="B182" s="7" t="s">
        <v>363</v>
      </c>
      <c r="C182" t="s">
        <v>473</v>
      </c>
    </row>
    <row r="183" spans="1:3">
      <c r="A183" s="7" t="s">
        <v>364</v>
      </c>
      <c r="B183" s="7" t="s">
        <v>365</v>
      </c>
    </row>
    <row r="184" spans="1:3">
      <c r="A184" s="7" t="s">
        <v>366</v>
      </c>
      <c r="B184" s="7" t="s">
        <v>367</v>
      </c>
    </row>
    <row r="185" spans="1:3">
      <c r="A185" s="7" t="s">
        <v>368</v>
      </c>
      <c r="B185" s="7" t="s">
        <v>369</v>
      </c>
    </row>
    <row r="186" spans="1:3">
      <c r="A186" s="7" t="s">
        <v>370</v>
      </c>
      <c r="B186" s="7" t="s">
        <v>371</v>
      </c>
    </row>
    <row r="187" spans="1:3">
      <c r="A187" s="7" t="s">
        <v>373</v>
      </c>
      <c r="B187" s="7" t="s">
        <v>372</v>
      </c>
    </row>
    <row r="188" spans="1:3">
      <c r="A188" s="7" t="s">
        <v>374</v>
      </c>
      <c r="B188" s="7" t="s">
        <v>375</v>
      </c>
    </row>
    <row r="189" spans="1:3">
      <c r="A189" s="7" t="s">
        <v>376</v>
      </c>
      <c r="B189" s="7" t="s">
        <v>377</v>
      </c>
    </row>
    <row r="190" spans="1:3">
      <c r="A190" s="7" t="s">
        <v>378</v>
      </c>
      <c r="B190" s="7" t="s">
        <v>379</v>
      </c>
    </row>
    <row r="191" spans="1:3">
      <c r="A191" s="7" t="s">
        <v>380</v>
      </c>
      <c r="B191" s="7" t="s">
        <v>381</v>
      </c>
    </row>
    <row r="192" spans="1:3">
      <c r="A192" s="7" t="s">
        <v>382</v>
      </c>
      <c r="B192" s="7" t="s">
        <v>383</v>
      </c>
    </row>
    <row r="193" spans="1:2">
      <c r="A193" s="7" t="s">
        <v>385</v>
      </c>
      <c r="B193" s="7" t="s">
        <v>384</v>
      </c>
    </row>
    <row r="194" spans="1:2">
      <c r="A194" s="7" t="s">
        <v>386</v>
      </c>
      <c r="B194" s="7" t="s">
        <v>387</v>
      </c>
    </row>
    <row r="195" spans="1:2" ht="52.2">
      <c r="A195" s="13" t="s">
        <v>388</v>
      </c>
      <c r="B195" s="7" t="s">
        <v>389</v>
      </c>
    </row>
    <row r="196" spans="1:2">
      <c r="A196" s="7" t="s">
        <v>395</v>
      </c>
      <c r="B196" s="7" t="s">
        <v>394</v>
      </c>
    </row>
    <row r="197" spans="1:2">
      <c r="A197" s="7" t="s">
        <v>390</v>
      </c>
      <c r="B197" s="7" t="s">
        <v>391</v>
      </c>
    </row>
    <row r="198" spans="1:2">
      <c r="A198" s="7" t="s">
        <v>392</v>
      </c>
      <c r="B198" s="7" t="s">
        <v>393</v>
      </c>
    </row>
    <row r="199" spans="1:2">
      <c r="A199" s="7" t="s">
        <v>396</v>
      </c>
      <c r="B199" s="7" t="s">
        <v>397</v>
      </c>
    </row>
    <row r="200" spans="1:2">
      <c r="A200" s="7" t="s">
        <v>401</v>
      </c>
      <c r="B200" s="7" t="s">
        <v>398</v>
      </c>
    </row>
    <row r="201" spans="1:2">
      <c r="A201" s="7" t="s">
        <v>402</v>
      </c>
      <c r="B201" s="7" t="s">
        <v>399</v>
      </c>
    </row>
    <row r="202" spans="1:2">
      <c r="A202" s="7" t="s">
        <v>403</v>
      </c>
      <c r="B202" s="7" t="s">
        <v>400</v>
      </c>
    </row>
    <row r="203" spans="1:2">
      <c r="A203" s="7" t="s">
        <v>404</v>
      </c>
      <c r="B203" s="7" t="s">
        <v>405</v>
      </c>
    </row>
    <row r="204" spans="1:2">
      <c r="A204" s="7" t="s">
        <v>406</v>
      </c>
      <c r="B204" s="7" t="s">
        <v>407</v>
      </c>
    </row>
    <row r="205" spans="1:2">
      <c r="A205" s="7" t="s">
        <v>409</v>
      </c>
      <c r="B205" s="7" t="s">
        <v>408</v>
      </c>
    </row>
    <row r="206" spans="1:2">
      <c r="A206" s="7" t="s">
        <v>413</v>
      </c>
      <c r="B206" s="7" t="s">
        <v>410</v>
      </c>
    </row>
    <row r="207" spans="1:2">
      <c r="A207" s="7" t="s">
        <v>411</v>
      </c>
      <c r="B207" s="7" t="s">
        <v>414</v>
      </c>
    </row>
    <row r="208" spans="1:2">
      <c r="A208" s="7" t="s">
        <v>412</v>
      </c>
      <c r="B208" s="7" t="s">
        <v>415</v>
      </c>
    </row>
    <row r="209" spans="1:2">
      <c r="A209" s="7" t="s">
        <v>416</v>
      </c>
      <c r="B209" s="7" t="s">
        <v>185</v>
      </c>
    </row>
    <row r="210" spans="1:2">
      <c r="A210" s="7" t="s">
        <v>417</v>
      </c>
      <c r="B210" s="7" t="s">
        <v>418</v>
      </c>
    </row>
    <row r="211" spans="1:2">
      <c r="A211" s="7" t="s">
        <v>422</v>
      </c>
      <c r="B211" s="7" t="s">
        <v>419</v>
      </c>
    </row>
    <row r="212" spans="1:2">
      <c r="A212" s="7" t="s">
        <v>420</v>
      </c>
      <c r="B212" s="7" t="s">
        <v>421</v>
      </c>
    </row>
    <row r="213" spans="1:2">
      <c r="A213" s="7" t="s">
        <v>423</v>
      </c>
      <c r="B213" s="7" t="s">
        <v>424</v>
      </c>
    </row>
    <row r="214" spans="1:2">
      <c r="A214" s="7" t="s">
        <v>425</v>
      </c>
      <c r="B214" s="7" t="s">
        <v>397</v>
      </c>
    </row>
    <row r="215" spans="1:2">
      <c r="A215" s="7" t="s">
        <v>426</v>
      </c>
      <c r="B215" s="7" t="s">
        <v>427</v>
      </c>
    </row>
    <row r="216" spans="1:2">
      <c r="A216" s="7" t="s">
        <v>431</v>
      </c>
      <c r="B216" s="7" t="s">
        <v>432</v>
      </c>
    </row>
    <row r="217" spans="1:2">
      <c r="A217" s="7" t="s">
        <v>429</v>
      </c>
      <c r="B217" s="7" t="s">
        <v>430</v>
      </c>
    </row>
    <row r="218" spans="1:2" ht="34.799999999999997">
      <c r="A218" s="13" t="s">
        <v>433</v>
      </c>
      <c r="B218" s="7" t="s">
        <v>434</v>
      </c>
    </row>
    <row r="219" spans="1:2">
      <c r="A219" s="7" t="s">
        <v>436</v>
      </c>
      <c r="B219" s="7" t="s">
        <v>435</v>
      </c>
    </row>
    <row r="220" spans="1:2">
      <c r="A220" s="7" t="s">
        <v>437</v>
      </c>
      <c r="B220" s="7" t="s">
        <v>438</v>
      </c>
    </row>
    <row r="221" spans="1:2">
      <c r="A221" s="7" t="s">
        <v>439</v>
      </c>
      <c r="B221" s="7" t="s">
        <v>332</v>
      </c>
    </row>
    <row r="222" spans="1:2">
      <c r="A222" s="7" t="s">
        <v>442</v>
      </c>
      <c r="B222" s="7" t="s">
        <v>441</v>
      </c>
    </row>
    <row r="223" spans="1:2" ht="34.799999999999997">
      <c r="A223" s="13" t="s">
        <v>440</v>
      </c>
      <c r="B223" s="7" t="s">
        <v>185</v>
      </c>
    </row>
    <row r="224" spans="1:2">
      <c r="A224" s="7" t="s">
        <v>450</v>
      </c>
      <c r="B224" s="7" t="s">
        <v>451</v>
      </c>
    </row>
    <row r="225" spans="1:3">
      <c r="A225" s="7" t="s">
        <v>443</v>
      </c>
      <c r="B225" s="7" t="s">
        <v>444</v>
      </c>
    </row>
    <row r="226" spans="1:3">
      <c r="A226" s="7" t="s">
        <v>445</v>
      </c>
      <c r="B226" s="7" t="s">
        <v>331</v>
      </c>
    </row>
    <row r="227" spans="1:3">
      <c r="A227" s="7" t="s">
        <v>446</v>
      </c>
      <c r="B227" s="7" t="s">
        <v>447</v>
      </c>
    </row>
    <row r="228" spans="1:3">
      <c r="A228" s="7" t="s">
        <v>448</v>
      </c>
      <c r="B228" s="7" t="s">
        <v>449</v>
      </c>
    </row>
    <row r="229" spans="1:3">
      <c r="A229" s="7" t="s">
        <v>452</v>
      </c>
      <c r="B229" s="7" t="s">
        <v>463</v>
      </c>
      <c r="C229" t="s">
        <v>501</v>
      </c>
    </row>
    <row r="230" spans="1:3">
      <c r="A230" s="7" t="s">
        <v>453</v>
      </c>
      <c r="B230" s="7" t="s">
        <v>464</v>
      </c>
      <c r="C230">
        <v>2</v>
      </c>
    </row>
    <row r="231" spans="1:3">
      <c r="A231" s="7" t="s">
        <v>454</v>
      </c>
      <c r="B231" s="7" t="s">
        <v>465</v>
      </c>
      <c r="C231">
        <v>3</v>
      </c>
    </row>
    <row r="232" spans="1:3" ht="34.799999999999997">
      <c r="A232" s="13" t="s">
        <v>458</v>
      </c>
      <c r="B232" s="7" t="s">
        <v>466</v>
      </c>
      <c r="C232">
        <v>4</v>
      </c>
    </row>
    <row r="233" spans="1:3" ht="34.799999999999997">
      <c r="A233" s="13" t="s">
        <v>457</v>
      </c>
      <c r="B233" s="7" t="s">
        <v>467</v>
      </c>
      <c r="C233">
        <v>5</v>
      </c>
    </row>
    <row r="234" spans="1:3">
      <c r="A234" s="7" t="s">
        <v>456</v>
      </c>
      <c r="B234" s="7" t="s">
        <v>468</v>
      </c>
      <c r="C234">
        <v>6</v>
      </c>
    </row>
    <row r="235" spans="1:3">
      <c r="A235" s="7" t="s">
        <v>459</v>
      </c>
      <c r="B235" s="7" t="s">
        <v>469</v>
      </c>
      <c r="C235">
        <v>7</v>
      </c>
    </row>
    <row r="236" spans="1:3">
      <c r="A236" s="7" t="s">
        <v>460</v>
      </c>
      <c r="B236" s="7" t="s">
        <v>470</v>
      </c>
      <c r="C236">
        <v>8</v>
      </c>
    </row>
    <row r="237" spans="1:3">
      <c r="A237" s="7" t="s">
        <v>461</v>
      </c>
      <c r="B237" s="7" t="s">
        <v>471</v>
      </c>
      <c r="C237">
        <v>9</v>
      </c>
    </row>
    <row r="238" spans="1:3">
      <c r="A238" s="7" t="s">
        <v>462</v>
      </c>
      <c r="B238" s="7" t="s">
        <v>472</v>
      </c>
      <c r="C238">
        <v>10</v>
      </c>
    </row>
    <row r="239" spans="1:3">
      <c r="A239" s="7" t="s">
        <v>502</v>
      </c>
      <c r="B239" s="7" t="s">
        <v>503</v>
      </c>
      <c r="C239">
        <v>1</v>
      </c>
    </row>
    <row r="240" spans="1:3">
      <c r="A240" s="7" t="s">
        <v>474</v>
      </c>
      <c r="B240" s="7" t="s">
        <v>504</v>
      </c>
      <c r="C240">
        <v>2</v>
      </c>
    </row>
    <row r="241" spans="1:3">
      <c r="A241" s="7" t="s">
        <v>475</v>
      </c>
      <c r="B241" s="7" t="s">
        <v>505</v>
      </c>
      <c r="C241">
        <v>3</v>
      </c>
    </row>
    <row r="242" spans="1:3">
      <c r="A242" s="7" t="s">
        <v>476</v>
      </c>
      <c r="B242" s="7" t="s">
        <v>352</v>
      </c>
      <c r="C242">
        <v>4</v>
      </c>
    </row>
    <row r="243" spans="1:3">
      <c r="A243" s="7" t="s">
        <v>477</v>
      </c>
      <c r="B243" s="7" t="s">
        <v>506</v>
      </c>
      <c r="C243">
        <v>5</v>
      </c>
    </row>
    <row r="244" spans="1:3">
      <c r="A244" s="7" t="s">
        <v>479</v>
      </c>
      <c r="B244" s="7" t="s">
        <v>332</v>
      </c>
      <c r="C244">
        <v>6</v>
      </c>
    </row>
    <row r="245" spans="1:3">
      <c r="A245" s="7" t="s">
        <v>478</v>
      </c>
      <c r="B245" s="7" t="s">
        <v>507</v>
      </c>
      <c r="C245">
        <v>7</v>
      </c>
    </row>
    <row r="246" spans="1:3">
      <c r="A246" s="7" t="s">
        <v>481</v>
      </c>
      <c r="B246" s="7" t="s">
        <v>508</v>
      </c>
      <c r="C246">
        <v>8</v>
      </c>
    </row>
    <row r="247" spans="1:3">
      <c r="A247" s="7" t="s">
        <v>480</v>
      </c>
      <c r="B247" s="7" t="s">
        <v>509</v>
      </c>
      <c r="C247">
        <v>9</v>
      </c>
    </row>
    <row r="248" spans="1:3">
      <c r="A248" s="7" t="s">
        <v>482</v>
      </c>
      <c r="B248" s="7" t="s">
        <v>510</v>
      </c>
      <c r="C248">
        <v>10</v>
      </c>
    </row>
    <row r="249" spans="1:3">
      <c r="A249" s="7" t="s">
        <v>483</v>
      </c>
      <c r="B249" s="7" t="s">
        <v>511</v>
      </c>
      <c r="C249">
        <v>1</v>
      </c>
    </row>
    <row r="250" spans="1:3">
      <c r="A250" s="7" t="s">
        <v>484</v>
      </c>
      <c r="B250" s="7" t="s">
        <v>512</v>
      </c>
      <c r="C250">
        <v>2</v>
      </c>
    </row>
    <row r="251" spans="1:3">
      <c r="A251" s="7" t="s">
        <v>513</v>
      </c>
      <c r="B251" s="7" t="s">
        <v>514</v>
      </c>
      <c r="C251">
        <v>3</v>
      </c>
    </row>
    <row r="252" spans="1:3">
      <c r="A252" s="7" t="s">
        <v>485</v>
      </c>
      <c r="B252" s="7" t="s">
        <v>515</v>
      </c>
      <c r="C252">
        <v>4</v>
      </c>
    </row>
    <row r="253" spans="1:3">
      <c r="A253" s="7" t="s">
        <v>486</v>
      </c>
      <c r="B253" s="7" t="s">
        <v>516</v>
      </c>
      <c r="C253">
        <v>5</v>
      </c>
    </row>
    <row r="254" spans="1:3">
      <c r="A254" s="7" t="s">
        <v>487</v>
      </c>
      <c r="B254" s="7" t="s">
        <v>517</v>
      </c>
      <c r="C254">
        <v>6</v>
      </c>
    </row>
    <row r="255" spans="1:3">
      <c r="A255" s="7" t="s">
        <v>488</v>
      </c>
      <c r="B255" s="7" t="s">
        <v>518</v>
      </c>
      <c r="C255">
        <v>7</v>
      </c>
    </row>
    <row r="256" spans="1:3">
      <c r="A256" s="7" t="s">
        <v>489</v>
      </c>
      <c r="B256" s="7" t="s">
        <v>519</v>
      </c>
      <c r="C256">
        <v>8</v>
      </c>
    </row>
    <row r="257" spans="1:3">
      <c r="A257" s="7" t="s">
        <v>490</v>
      </c>
      <c r="B257" s="7" t="s">
        <v>520</v>
      </c>
      <c r="C257">
        <v>9</v>
      </c>
    </row>
    <row r="258" spans="1:3">
      <c r="A258" s="7" t="s">
        <v>491</v>
      </c>
      <c r="B258" s="7" t="s">
        <v>522</v>
      </c>
      <c r="C258">
        <v>10</v>
      </c>
    </row>
    <row r="259" spans="1:3">
      <c r="A259" s="7" t="s">
        <v>523</v>
      </c>
      <c r="B259" s="7" t="s">
        <v>529</v>
      </c>
      <c r="C259">
        <v>1</v>
      </c>
    </row>
    <row r="260" spans="1:3">
      <c r="A260" s="7" t="s">
        <v>492</v>
      </c>
      <c r="B260" s="7" t="s">
        <v>524</v>
      </c>
      <c r="C260">
        <v>2</v>
      </c>
    </row>
    <row r="261" spans="1:3">
      <c r="A261" s="7" t="s">
        <v>493</v>
      </c>
      <c r="B261" s="7" t="s">
        <v>528</v>
      </c>
      <c r="C261">
        <v>3</v>
      </c>
    </row>
    <row r="262" spans="1:3">
      <c r="A262" s="7" t="s">
        <v>494</v>
      </c>
      <c r="B262" s="7" t="s">
        <v>29</v>
      </c>
      <c r="C262">
        <v>4</v>
      </c>
    </row>
    <row r="263" spans="1:3">
      <c r="A263" s="7" t="s">
        <v>495</v>
      </c>
      <c r="B263" s="7" t="s">
        <v>525</v>
      </c>
      <c r="C263">
        <v>5</v>
      </c>
    </row>
    <row r="264" spans="1:3">
      <c r="A264" s="7" t="s">
        <v>496</v>
      </c>
      <c r="B264" s="7" t="s">
        <v>526</v>
      </c>
      <c r="C264">
        <v>6</v>
      </c>
    </row>
    <row r="265" spans="1:3">
      <c r="A265" s="7" t="s">
        <v>497</v>
      </c>
      <c r="B265" s="7" t="s">
        <v>393</v>
      </c>
      <c r="C265">
        <v>7</v>
      </c>
    </row>
    <row r="266" spans="1:3" ht="34.799999999999997">
      <c r="A266" s="13" t="s">
        <v>500</v>
      </c>
      <c r="B266" s="7" t="s">
        <v>527</v>
      </c>
      <c r="C266">
        <v>8</v>
      </c>
    </row>
    <row r="267" spans="1:3">
      <c r="A267" s="7" t="s">
        <v>498</v>
      </c>
      <c r="B267" s="7">
        <v>-1</v>
      </c>
      <c r="C267">
        <v>9</v>
      </c>
    </row>
    <row r="268" spans="1:3">
      <c r="A268" s="7" t="s">
        <v>499</v>
      </c>
      <c r="B268" s="7" t="s">
        <v>521</v>
      </c>
      <c r="C268">
        <v>10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7F028-DFB1-4FA4-A3E8-F369CD85EED5}">
  <sheetPr codeName="Sheet2"/>
  <dimension ref="A1:A10"/>
  <sheetViews>
    <sheetView workbookViewId="0">
      <selection activeCell="A10" sqref="A1:A10"/>
    </sheetView>
  </sheetViews>
  <sheetFormatPr defaultRowHeight="17.399999999999999"/>
  <sheetData>
    <row r="1" spans="1:1">
      <c r="A1" t="str" cm="1">
        <f t="array" aca="1" ref="A1" ca="1">INDIRECT("Sheet1!A"&amp;RANDBETWEEN(2, 268))</f>
        <v>모형을 가장 많이 향상시키는 변수를 하나씩 점진적 추가하는 전진 선택과 모두 포함된 상태에서 시작하여 가장 적은 영향을 주는 변수부터 하나씩 제거하는 후진 소거를 함께 사용하는 방법은 무엇인가?</v>
      </c>
    </row>
    <row r="2" spans="1:1">
      <c r="A2" t="str" cm="1">
        <f t="array" aca="1" ref="A2" ca="1">INDIRECT("Sheet1!A"&amp;RANDBETWEEN(2, 268))</f>
        <v>분산 환경에서 대량의 로그 데이터를 효과적으로 수집하여 합친 후 다른 곳으로 전송할 수 있는 신뢰할 수 lT는 서비스</v>
      </c>
    </row>
    <row r="3" spans="1:1">
      <c r="A3" t="str" cm="1">
        <f t="array" aca="1" ref="A3" ca="1">INDIRECT("Sheet1!A"&amp;RANDBETWEEN(2, 268))</f>
        <v xml:space="preserve">대립가설이 참일 때 귀무가설을 기각하고 대립가설을 채택할 확률 </v>
      </c>
    </row>
    <row r="4" spans="1:1">
      <c r="A4" t="str" cm="1">
        <f t="array" aca="1" ref="A4" ca="1">INDIRECT("Sheet1!A"&amp;RANDBETWEEN(2, 268))</f>
        <v>모델에서 외적인 요소로 데이터 분석을 통해 얻어지는 값이 아니라 사용자가 직접 설정해주거나 알고리즘 생성자가 직접 만드는 값은 무엇인가?</v>
      </c>
    </row>
    <row r="5" spans="1:1">
      <c r="A5" t="str" cm="1">
        <f t="array" aca="1" ref="A5" ca="1">INDIRECT("Sheet1!A"&amp;RANDBETWEEN(2, 268))</f>
        <v xml:space="preserve">지역별 매출액, 영업이익률, 판매량과 같이 수치로 명확하게 표현되는 데이터로, 그 양이 크게 증가하더라도 이를 DBMS에 저장, 검색, 분석하여 활용하기가 용이하다. </v>
      </c>
    </row>
    <row r="6" spans="1:1">
      <c r="A6" t="str" cm="1">
        <f t="array" aca="1" ref="A6" ca="1">INDIRECT("Sheet1!A"&amp;RANDBETWEEN(2, 268))</f>
        <v>데이터에 개인을 식별할 수 있는 정보가 있는 경우 일부 또는 전체를 삭제하거나 일부를 대체 처리함으로써 개인을 식별할 수 없게 하는 것</v>
      </c>
    </row>
    <row r="7" spans="1:1">
      <c r="A7" t="str" cm="1">
        <f t="array" aca="1" ref="A7" ca="1">INDIRECT("Sheet1!A"&amp;RANDBETWEEN(2, 268))</f>
        <v>모델의 파라미터값을 측정하기 위해 알고리즘 구현 과정에서 사용, 주로 알고리즘 사용자에 의해 결정, 경험에 의해 결정 가능한 값이며 모델 성능 향상을 위해 조절해주는 값은? / 인공지능 모델 학습 시 데이터 분석을 통해서가 아니라 사용자가 직접 설정해 주는 값은?</v>
      </c>
    </row>
    <row r="8" spans="1:1">
      <c r="A8" t="str" cm="1">
        <f t="array" aca="1" ref="A8" ca="1">INDIRECT("Sheet1!A"&amp;RANDBETWEEN(2, 268))</f>
        <v xml:space="preserve">기존 변수들을 조합하여 새롭게 만들어진 변수 </v>
      </c>
    </row>
    <row r="9" spans="1:1">
      <c r="A9" t="str" cm="1">
        <f t="array" aca="1" ref="A9" ca="1">INDIRECT("Sheet1!A"&amp;RANDBETWEEN(2, 268))</f>
        <v xml:space="preserve">표본평균들의 표준편차 </v>
      </c>
    </row>
    <row r="10" spans="1:1">
      <c r="A10" t="str" cm="1">
        <f t="array" aca="1" ref="A10" ca="1">INDIRECT("Sheet1!A"&amp;RANDBETWEEN(2, 268))</f>
        <v>모델이 학습 데이터를 과하게 학습하여 훈련용 데이터에 대한 성능은 높게 나오지만, 테스트 데이터에 대한 성능은 낮게 나오는 것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91D3D-741F-499E-A7B9-FAD7865BC0D2}">
  <sheetPr codeName="Sheet3"/>
  <dimension ref="A1:I21"/>
  <sheetViews>
    <sheetView workbookViewId="0">
      <selection activeCell="B1" sqref="B1:B10"/>
    </sheetView>
  </sheetViews>
  <sheetFormatPr defaultRowHeight="17.399999999999999"/>
  <cols>
    <col min="1" max="1" width="3.3984375" bestFit="1" customWidth="1"/>
    <col min="3" max="3" width="39.5" bestFit="1" customWidth="1"/>
    <col min="4" max="4" width="4.19921875" bestFit="1" customWidth="1"/>
  </cols>
  <sheetData>
    <row r="1" spans="1:8">
      <c r="A1">
        <v>1</v>
      </c>
      <c r="B1" t="s">
        <v>14</v>
      </c>
    </row>
    <row r="2" spans="1:8">
      <c r="A2">
        <v>2</v>
      </c>
      <c r="B2" t="s">
        <v>828</v>
      </c>
    </row>
    <row r="3" spans="1:8">
      <c r="A3">
        <v>3</v>
      </c>
      <c r="B3" t="s">
        <v>672</v>
      </c>
    </row>
    <row r="4" spans="1:8">
      <c r="A4">
        <v>4</v>
      </c>
      <c r="B4" t="s">
        <v>64</v>
      </c>
    </row>
    <row r="5" spans="1:8">
      <c r="A5">
        <v>5</v>
      </c>
      <c r="B5" t="s">
        <v>742</v>
      </c>
    </row>
    <row r="6" spans="1:8">
      <c r="A6">
        <v>6</v>
      </c>
      <c r="B6" t="s">
        <v>782</v>
      </c>
    </row>
    <row r="7" spans="1:8">
      <c r="A7">
        <v>7</v>
      </c>
      <c r="B7" t="s">
        <v>362</v>
      </c>
    </row>
    <row r="8" spans="1:8">
      <c r="A8">
        <v>8</v>
      </c>
      <c r="B8" t="s">
        <v>744</v>
      </c>
    </row>
    <row r="9" spans="1:8">
      <c r="A9">
        <v>9</v>
      </c>
      <c r="B9" t="s">
        <v>778</v>
      </c>
    </row>
    <row r="10" spans="1:8">
      <c r="A10">
        <v>10</v>
      </c>
      <c r="B10" t="s">
        <v>814</v>
      </c>
    </row>
    <row r="11" spans="1:8" s="10" customFormat="1"/>
    <row r="12" spans="1:8">
      <c r="A12">
        <v>1</v>
      </c>
      <c r="B12" t="s">
        <v>530</v>
      </c>
      <c r="C12" s="14" t="str">
        <f>VLOOKUP($B1,Sheet1!$A$2:$B$268,2,FALSE)</f>
        <v>SCM (Supply Chain Management)</v>
      </c>
      <c r="D12" t="str">
        <f>IF(ISNUMBER(SEARCH(B12,C12)),"YES","NO")</f>
        <v>NO</v>
      </c>
    </row>
    <row r="13" spans="1:8">
      <c r="A13">
        <v>2</v>
      </c>
      <c r="B13" t="s">
        <v>530</v>
      </c>
      <c r="C13" s="14" t="str">
        <f>VLOOKUP($B2,Sheet1!$A$2:$B$268,2,FALSE)</f>
        <v>이익 도표</v>
      </c>
      <c r="D13" t="str">
        <f t="shared" ref="D13:D21" si="0">IF(ISNUMBER(SEARCH(B13,C13)),"YES","NO")</f>
        <v>NO</v>
      </c>
      <c r="E13" s="9"/>
    </row>
    <row r="14" spans="1:8">
      <c r="A14">
        <v>3</v>
      </c>
      <c r="B14" t="s">
        <v>530</v>
      </c>
      <c r="C14" s="14" t="str">
        <f>VLOOKUP($B3,Sheet1!$A$2:$B$268,2,FALSE)</f>
        <v>크롤링</v>
      </c>
      <c r="D14" t="str">
        <f t="shared" si="0"/>
        <v>NO</v>
      </c>
      <c r="E14" s="9"/>
    </row>
    <row r="15" spans="1:8">
      <c r="A15">
        <v>4</v>
      </c>
      <c r="B15" t="s">
        <v>530</v>
      </c>
      <c r="C15" s="14" t="str">
        <f>VLOOKUP($B4,Sheet1!$A$2:$B$268,2,FALSE)</f>
        <v>모수</v>
      </c>
      <c r="D15" t="str">
        <f t="shared" si="0"/>
        <v>NO</v>
      </c>
      <c r="E15" s="9"/>
      <c r="H15" s="9"/>
    </row>
    <row r="16" spans="1:8">
      <c r="A16">
        <v>5</v>
      </c>
      <c r="B16" t="s">
        <v>530</v>
      </c>
      <c r="C16" s="14" t="e">
        <f>VLOOKUP($B5,Sheet1!$A$2:$B$268,2,FALSE)</f>
        <v>#VALUE!</v>
      </c>
      <c r="D16" t="str">
        <f t="shared" si="0"/>
        <v>NO</v>
      </c>
      <c r="E16" s="9"/>
      <c r="G16" s="9"/>
    </row>
    <row r="17" spans="1:9">
      <c r="A17">
        <v>6</v>
      </c>
      <c r="B17" t="s">
        <v>530</v>
      </c>
      <c r="C17" s="14" t="str">
        <f>VLOOKUP($B6,Sheet1!$A$2:$B$268,2,FALSE)</f>
        <v>크롤링</v>
      </c>
      <c r="D17" t="str">
        <f t="shared" si="0"/>
        <v>NO</v>
      </c>
      <c r="G17" s="9"/>
    </row>
    <row r="18" spans="1:9">
      <c r="A18">
        <v>7</v>
      </c>
      <c r="B18" s="9" t="s">
        <v>530</v>
      </c>
      <c r="C18" s="14" t="str">
        <f>VLOOKUP($B7,Sheet1!$A$2:$B$268,2,FALSE)</f>
        <v>차분</v>
      </c>
      <c r="D18" t="str">
        <f t="shared" si="0"/>
        <v>NO</v>
      </c>
      <c r="G18" s="9"/>
      <c r="I18" s="9"/>
    </row>
    <row r="19" spans="1:9">
      <c r="A19">
        <v>8</v>
      </c>
      <c r="B19" t="s">
        <v>530</v>
      </c>
      <c r="C19" s="14" t="str">
        <f>VLOOKUP($B8,Sheet1!$A$2:$B$268,2,FALSE)</f>
        <v>ESD(Extreme Studentized Deviation)</v>
      </c>
      <c r="D19" t="str">
        <f t="shared" si="0"/>
        <v>NO</v>
      </c>
      <c r="E19" s="9"/>
    </row>
    <row r="20" spans="1:9">
      <c r="A20">
        <v>9</v>
      </c>
      <c r="B20" t="s">
        <v>530</v>
      </c>
      <c r="C20" s="14" t="str">
        <f>VLOOKUP($B9,Sheet1!$A$2:$B$268,2,FALSE)</f>
        <v>완전 무작위 결측(MCAR; Missing Completely At Random)</v>
      </c>
      <c r="D20" t="str">
        <f t="shared" si="0"/>
        <v>NO</v>
      </c>
      <c r="E20" s="9"/>
    </row>
    <row r="21" spans="1:9">
      <c r="A21">
        <v>10</v>
      </c>
      <c r="B21" t="s">
        <v>530</v>
      </c>
      <c r="C21" s="14" t="str">
        <f>VLOOKUP($B10,Sheet1!$A$2:$B$268,2,FALSE)</f>
        <v>강화학습</v>
      </c>
      <c r="D21" t="str">
        <f t="shared" si="0"/>
        <v>NO</v>
      </c>
      <c r="E21" s="9"/>
    </row>
  </sheetData>
  <phoneticPr fontId="1" type="noConversion"/>
  <conditionalFormatting sqref="D12:D21">
    <cfRule type="containsText" dxfId="2" priority="1" operator="containsText" text="NO">
      <formula>NOT(ISERROR(SEARCH("NO",D12)))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새로운문제">
                <anchor moveWithCells="1" sizeWithCells="1">
                  <from>
                    <xdr:col>4</xdr:col>
                    <xdr:colOff>434340</xdr:colOff>
                    <xdr:row>11</xdr:row>
                    <xdr:rowOff>137160</xdr:rowOff>
                  </from>
                  <to>
                    <xdr:col>5</xdr:col>
                    <xdr:colOff>396240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답확인">
                <anchor moveWithCells="1" sizeWithCells="1">
                  <from>
                    <xdr:col>4</xdr:col>
                    <xdr:colOff>449580</xdr:colOff>
                    <xdr:row>15</xdr:row>
                    <xdr:rowOff>106680</xdr:rowOff>
                  </from>
                  <to>
                    <xdr:col>5</xdr:col>
                    <xdr:colOff>396240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답제거">
                <anchor moveWithCells="1" sizeWithCells="1">
                  <from>
                    <xdr:col>4</xdr:col>
                    <xdr:colOff>426720</xdr:colOff>
                    <xdr:row>17</xdr:row>
                    <xdr:rowOff>137160</xdr:rowOff>
                  </from>
                  <to>
                    <xdr:col>5</xdr:col>
                    <xdr:colOff>388620</xdr:colOff>
                    <xdr:row>19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0258-602D-4A63-90EE-A6EAD80417DE}">
  <sheetPr filterMode="1"/>
  <dimension ref="A1:E268"/>
  <sheetViews>
    <sheetView workbookViewId="0">
      <selection activeCell="C8" sqref="C8"/>
    </sheetView>
  </sheetViews>
  <sheetFormatPr defaultRowHeight="16.95" customHeight="1"/>
  <cols>
    <col min="1" max="1" width="120.09765625" style="15" customWidth="1"/>
    <col min="2" max="2" width="13.5" customWidth="1"/>
    <col min="4" max="4" width="5.3984375" style="14" customWidth="1"/>
  </cols>
  <sheetData>
    <row r="1" spans="1:5" s="17" customFormat="1" ht="16.95" customHeight="1">
      <c r="A1" s="16" t="s">
        <v>537</v>
      </c>
      <c r="B1" s="17" t="s">
        <v>866</v>
      </c>
      <c r="C1" s="17" t="s">
        <v>867</v>
      </c>
      <c r="D1" s="17" t="s">
        <v>869</v>
      </c>
      <c r="E1" s="17" t="s">
        <v>870</v>
      </c>
    </row>
    <row r="2" spans="1:5" ht="16.95" hidden="1" customHeight="1">
      <c r="A2" s="15" t="s">
        <v>659</v>
      </c>
      <c r="B2" t="s">
        <v>871</v>
      </c>
      <c r="C2" t="str">
        <f t="shared" ref="C2:C65" si="0">IF(ISNUMBER(SEARCH(B2,D2)),"YES","NO")</f>
        <v>YES</v>
      </c>
      <c r="D2" s="14" t="s">
        <v>660</v>
      </c>
      <c r="E2" s="14">
        <f t="shared" ref="E2:E65" ca="1" si="1">RAND()</f>
        <v>7.2149469131361665E-2</v>
      </c>
    </row>
    <row r="3" spans="1:5" ht="16.95" hidden="1" customHeight="1">
      <c r="A3" s="15" t="s">
        <v>840</v>
      </c>
      <c r="B3" t="s">
        <v>527</v>
      </c>
      <c r="C3" t="str">
        <f t="shared" si="0"/>
        <v>YES</v>
      </c>
      <c r="D3" s="14" t="s">
        <v>841</v>
      </c>
      <c r="E3" s="14">
        <f t="shared" ca="1" si="1"/>
        <v>0.53118603915983786</v>
      </c>
    </row>
    <row r="4" spans="1:5" ht="16.95" hidden="1" customHeight="1">
      <c r="A4" s="15" t="s">
        <v>675</v>
      </c>
      <c r="B4" t="s">
        <v>864</v>
      </c>
      <c r="C4" t="str">
        <f t="shared" si="0"/>
        <v>YES</v>
      </c>
      <c r="D4" s="14" t="s">
        <v>154</v>
      </c>
      <c r="E4" s="14">
        <f t="shared" ca="1" si="1"/>
        <v>0.37894311478468556</v>
      </c>
    </row>
    <row r="5" spans="1:5" ht="16.95" hidden="1" customHeight="1">
      <c r="A5" s="15" t="s">
        <v>572</v>
      </c>
      <c r="B5" t="s">
        <v>872</v>
      </c>
      <c r="C5" t="str">
        <f t="shared" si="0"/>
        <v>YES</v>
      </c>
      <c r="D5" s="14" t="s">
        <v>42</v>
      </c>
      <c r="E5" s="14">
        <f t="shared" ca="1" si="1"/>
        <v>0.49677256540731596</v>
      </c>
    </row>
    <row r="6" spans="1:5" ht="16.95" customHeight="1">
      <c r="A6" s="15" t="s">
        <v>665</v>
      </c>
      <c r="B6" t="s">
        <v>530</v>
      </c>
      <c r="C6" t="str">
        <f t="shared" si="0"/>
        <v>NO</v>
      </c>
      <c r="D6" s="14" t="s">
        <v>666</v>
      </c>
      <c r="E6" s="14">
        <f t="shared" ca="1" si="1"/>
        <v>0.44451363649224529</v>
      </c>
    </row>
    <row r="7" spans="1:5" ht="16.95" hidden="1" customHeight="1">
      <c r="A7" s="15" t="s">
        <v>842</v>
      </c>
      <c r="B7">
        <v>-1</v>
      </c>
      <c r="C7" t="str">
        <f t="shared" si="0"/>
        <v>YES</v>
      </c>
      <c r="D7" s="14">
        <v>-1</v>
      </c>
      <c r="E7" s="14">
        <f t="shared" ca="1" si="1"/>
        <v>0.27910784146446077</v>
      </c>
    </row>
    <row r="8" spans="1:5" ht="16.95" customHeight="1">
      <c r="A8" s="15" t="s">
        <v>772</v>
      </c>
      <c r="B8" t="s">
        <v>530</v>
      </c>
      <c r="C8" t="str">
        <f t="shared" si="0"/>
        <v>NO</v>
      </c>
      <c r="D8" s="14" t="s">
        <v>174</v>
      </c>
      <c r="E8" s="14">
        <f t="shared" ca="1" si="1"/>
        <v>0.55851992666045169</v>
      </c>
    </row>
    <row r="9" spans="1:5" ht="16.95" hidden="1" customHeight="1">
      <c r="A9" s="15" t="s">
        <v>629</v>
      </c>
      <c r="B9" t="s">
        <v>387</v>
      </c>
      <c r="C9" t="str">
        <f t="shared" si="0"/>
        <v>YES</v>
      </c>
      <c r="D9" s="14" t="s">
        <v>106</v>
      </c>
      <c r="E9" s="14">
        <f t="shared" ca="1" si="1"/>
        <v>0.5605770384273705</v>
      </c>
    </row>
    <row r="10" spans="1:5" ht="16.95" customHeight="1">
      <c r="A10" s="15" t="s">
        <v>33</v>
      </c>
      <c r="B10" t="s">
        <v>530</v>
      </c>
      <c r="C10" t="str">
        <f t="shared" si="0"/>
        <v>NO</v>
      </c>
      <c r="D10" s="14" t="s">
        <v>34</v>
      </c>
      <c r="E10" s="14">
        <f t="shared" ca="1" si="1"/>
        <v>0.56383978363107046</v>
      </c>
    </row>
    <row r="11" spans="1:5" ht="16.95" hidden="1" customHeight="1">
      <c r="A11" s="15" t="s">
        <v>587</v>
      </c>
      <c r="B11" t="s">
        <v>874</v>
      </c>
      <c r="C11" t="str">
        <f t="shared" si="0"/>
        <v>YES</v>
      </c>
      <c r="D11" s="14" t="s">
        <v>66</v>
      </c>
      <c r="E11" s="14">
        <f t="shared" ca="1" si="1"/>
        <v>0.24320433551609599</v>
      </c>
    </row>
    <row r="12" spans="1:5" ht="16.95" hidden="1" customHeight="1">
      <c r="A12" s="15" t="s">
        <v>819</v>
      </c>
      <c r="B12" t="s">
        <v>516</v>
      </c>
      <c r="C12" t="str">
        <f t="shared" si="0"/>
        <v>YES</v>
      </c>
      <c r="D12" s="14" t="s">
        <v>110</v>
      </c>
      <c r="E12" s="14">
        <f t="shared" ca="1" si="1"/>
        <v>0.56984247043361658</v>
      </c>
    </row>
    <row r="13" spans="1:5" ht="16.95" customHeight="1">
      <c r="A13" s="15" t="s">
        <v>637</v>
      </c>
      <c r="B13" t="s">
        <v>389</v>
      </c>
      <c r="C13" t="str">
        <f t="shared" si="0"/>
        <v>NO</v>
      </c>
      <c r="D13" s="14" t="s">
        <v>113</v>
      </c>
      <c r="E13" s="14">
        <f t="shared" ca="1" si="1"/>
        <v>0.37328410633998788</v>
      </c>
    </row>
    <row r="14" spans="1:5" ht="16.95" hidden="1" customHeight="1">
      <c r="A14" s="15" t="s">
        <v>68</v>
      </c>
      <c r="B14" t="s">
        <v>875</v>
      </c>
      <c r="C14" t="str">
        <f t="shared" si="0"/>
        <v>YES</v>
      </c>
      <c r="D14" s="14" t="s">
        <v>69</v>
      </c>
      <c r="E14" s="14">
        <f t="shared" ca="1" si="1"/>
        <v>0.87340974091673829</v>
      </c>
    </row>
    <row r="15" spans="1:5" ht="16.95" hidden="1" customHeight="1">
      <c r="A15" s="15" t="s">
        <v>82</v>
      </c>
      <c r="B15" t="s">
        <v>876</v>
      </c>
      <c r="C15" t="str">
        <f t="shared" si="0"/>
        <v>YES</v>
      </c>
      <c r="D15" s="14" t="s">
        <v>83</v>
      </c>
      <c r="E15" s="14">
        <f t="shared" ca="1" si="1"/>
        <v>0.75613607482573697</v>
      </c>
    </row>
    <row r="16" spans="1:5" ht="16.95" hidden="1" customHeight="1">
      <c r="A16" s="15" t="s">
        <v>550</v>
      </c>
      <c r="B16" t="s">
        <v>862</v>
      </c>
      <c r="C16" t="str">
        <f t="shared" si="0"/>
        <v>YES</v>
      </c>
      <c r="D16" s="14" t="s">
        <v>20</v>
      </c>
      <c r="E16" s="14">
        <f t="shared" ca="1" si="1"/>
        <v>0.17769845037051757</v>
      </c>
    </row>
    <row r="17" spans="1:5" ht="16.95" hidden="1" customHeight="1">
      <c r="A17" s="15" t="s">
        <v>11</v>
      </c>
      <c r="B17" t="s">
        <v>859</v>
      </c>
      <c r="C17" t="str">
        <f t="shared" si="0"/>
        <v>YES</v>
      </c>
      <c r="D17" s="14" t="s">
        <v>19</v>
      </c>
      <c r="E17" s="14">
        <f t="shared" ca="1" si="1"/>
        <v>0.80589987352455827</v>
      </c>
    </row>
    <row r="18" spans="1:5" ht="16.95" hidden="1" customHeight="1">
      <c r="A18" s="15" t="s">
        <v>124</v>
      </c>
      <c r="B18" t="s">
        <v>877</v>
      </c>
      <c r="C18" t="str">
        <f t="shared" si="0"/>
        <v>YES</v>
      </c>
      <c r="D18" s="14" t="s">
        <v>125</v>
      </c>
      <c r="E18" s="14">
        <f t="shared" ca="1" si="1"/>
        <v>0.19617989435124694</v>
      </c>
    </row>
    <row r="19" spans="1:5" ht="16.95" hidden="1" customHeight="1">
      <c r="A19" s="15" t="s">
        <v>800</v>
      </c>
      <c r="B19" t="s">
        <v>505</v>
      </c>
      <c r="C19" t="str">
        <f t="shared" si="0"/>
        <v>YES</v>
      </c>
      <c r="D19" s="14" t="s">
        <v>801</v>
      </c>
      <c r="E19" s="14">
        <f t="shared" ca="1" si="1"/>
        <v>0.47249047185150328</v>
      </c>
    </row>
    <row r="20" spans="1:5" ht="16.95" hidden="1" customHeight="1">
      <c r="A20" s="15" t="s">
        <v>703</v>
      </c>
      <c r="B20" t="s">
        <v>393</v>
      </c>
      <c r="C20" t="str">
        <f t="shared" si="0"/>
        <v>YES</v>
      </c>
      <c r="D20" s="14" t="s">
        <v>172</v>
      </c>
      <c r="E20" s="14">
        <f t="shared" ca="1" si="1"/>
        <v>0.70402078562453518</v>
      </c>
    </row>
    <row r="21" spans="1:5" ht="16.95" hidden="1" customHeight="1">
      <c r="A21" s="15" t="s">
        <v>10</v>
      </c>
      <c r="B21" t="s">
        <v>861</v>
      </c>
      <c r="C21" t="str">
        <f t="shared" si="0"/>
        <v>YES</v>
      </c>
      <c r="D21" s="14" t="s">
        <v>17</v>
      </c>
      <c r="E21" s="14">
        <f t="shared" ca="1" si="1"/>
        <v>0.90118030707812646</v>
      </c>
    </row>
    <row r="22" spans="1:5" ht="16.95" hidden="1" customHeight="1">
      <c r="A22" s="15" t="s">
        <v>455</v>
      </c>
      <c r="B22" t="s">
        <v>468</v>
      </c>
      <c r="C22" t="str">
        <f t="shared" si="0"/>
        <v>YES</v>
      </c>
      <c r="D22" s="14" t="s">
        <v>788</v>
      </c>
      <c r="E22" s="14">
        <f t="shared" ca="1" si="1"/>
        <v>0.97834350196897291</v>
      </c>
    </row>
    <row r="23" spans="1:5" ht="16.95" hidden="1" customHeight="1">
      <c r="A23" s="15" t="s">
        <v>598</v>
      </c>
      <c r="B23" t="s">
        <v>508</v>
      </c>
      <c r="C23" t="str">
        <f t="shared" si="0"/>
        <v>YES</v>
      </c>
      <c r="D23" s="14" t="s">
        <v>80</v>
      </c>
      <c r="E23" s="14">
        <f t="shared" ca="1" si="1"/>
        <v>0.80906252194787065</v>
      </c>
    </row>
    <row r="24" spans="1:5" ht="16.95" hidden="1" customHeight="1">
      <c r="A24" s="15" t="s">
        <v>774</v>
      </c>
      <c r="B24" t="s">
        <v>451</v>
      </c>
      <c r="C24" t="str">
        <f t="shared" si="0"/>
        <v>YES</v>
      </c>
      <c r="D24" s="14" t="s">
        <v>107</v>
      </c>
      <c r="E24" s="14">
        <f t="shared" ca="1" si="1"/>
        <v>0.33592743666539759</v>
      </c>
    </row>
    <row r="25" spans="1:5" ht="16.95" customHeight="1">
      <c r="A25" s="15" t="s">
        <v>636</v>
      </c>
      <c r="B25" t="s">
        <v>530</v>
      </c>
      <c r="C25" t="str">
        <f t="shared" si="0"/>
        <v>NO</v>
      </c>
      <c r="D25" s="14" t="s">
        <v>112</v>
      </c>
      <c r="E25" s="14">
        <f t="shared" ca="1" si="1"/>
        <v>0.12989344016869586</v>
      </c>
    </row>
    <row r="26" spans="1:5" ht="16.95" hidden="1" customHeight="1">
      <c r="A26" s="15" t="s">
        <v>53</v>
      </c>
      <c r="B26" t="s">
        <v>878</v>
      </c>
      <c r="C26" t="str">
        <f t="shared" si="0"/>
        <v>YES</v>
      </c>
      <c r="D26" s="14" t="s">
        <v>583</v>
      </c>
      <c r="E26" s="14">
        <f t="shared" ca="1" si="1"/>
        <v>0.77557775855403788</v>
      </c>
    </row>
    <row r="27" spans="1:5" ht="16.95" customHeight="1">
      <c r="A27" s="15" t="s">
        <v>778</v>
      </c>
      <c r="B27" t="s">
        <v>530</v>
      </c>
      <c r="C27" t="str">
        <f t="shared" si="0"/>
        <v>NO</v>
      </c>
      <c r="D27" s="14" t="s">
        <v>779</v>
      </c>
      <c r="E27" s="14">
        <f t="shared" ca="1" si="1"/>
        <v>0.36852169744911067</v>
      </c>
    </row>
    <row r="28" spans="1:5" ht="16.95" hidden="1" customHeight="1">
      <c r="A28" s="15" t="s">
        <v>578</v>
      </c>
      <c r="B28" t="s">
        <v>465</v>
      </c>
      <c r="C28" t="str">
        <f t="shared" si="0"/>
        <v>YES</v>
      </c>
      <c r="D28" s="14" t="s">
        <v>50</v>
      </c>
      <c r="E28" s="14">
        <f t="shared" ca="1" si="1"/>
        <v>0.97867479856626471</v>
      </c>
    </row>
    <row r="29" spans="1:5" ht="16.95" hidden="1" customHeight="1">
      <c r="A29" s="15" t="s">
        <v>102</v>
      </c>
      <c r="B29" t="s">
        <v>879</v>
      </c>
      <c r="C29" t="str">
        <f t="shared" si="0"/>
        <v>YES</v>
      </c>
      <c r="D29" s="14" t="s">
        <v>623</v>
      </c>
      <c r="E29" s="14">
        <f t="shared" ca="1" si="1"/>
        <v>0.59721254006286695</v>
      </c>
    </row>
    <row r="30" spans="1:5" ht="16.95" hidden="1" customHeight="1">
      <c r="A30" s="15" t="s">
        <v>77</v>
      </c>
      <c r="B30" t="s">
        <v>880</v>
      </c>
      <c r="C30" t="str">
        <f t="shared" si="0"/>
        <v>YES</v>
      </c>
      <c r="D30" s="14" t="s">
        <v>595</v>
      </c>
      <c r="E30" s="14">
        <f t="shared" ca="1" si="1"/>
        <v>0.29572835382349916</v>
      </c>
    </row>
    <row r="31" spans="1:5" ht="16.95" hidden="1" customHeight="1">
      <c r="A31" s="15" t="s">
        <v>175</v>
      </c>
      <c r="B31" t="s">
        <v>890</v>
      </c>
      <c r="C31" t="str">
        <f t="shared" si="0"/>
        <v>YES</v>
      </c>
      <c r="D31" s="14" t="s">
        <v>176</v>
      </c>
      <c r="E31" s="14">
        <f t="shared" ca="1" si="1"/>
        <v>0.40749899690683811</v>
      </c>
    </row>
    <row r="32" spans="1:5" ht="16.95" hidden="1" customHeight="1">
      <c r="A32" s="15" t="s">
        <v>639</v>
      </c>
      <c r="B32" t="s">
        <v>881</v>
      </c>
      <c r="C32" t="str">
        <f t="shared" si="0"/>
        <v>YES</v>
      </c>
      <c r="D32" s="14" t="s">
        <v>115</v>
      </c>
      <c r="E32" s="14">
        <f t="shared" ca="1" si="1"/>
        <v>0.96063385102673415</v>
      </c>
    </row>
    <row r="33" spans="1:5" ht="16.95" customHeight="1">
      <c r="A33" s="15" t="s">
        <v>715</v>
      </c>
      <c r="B33" t="s">
        <v>530</v>
      </c>
      <c r="C33" t="str">
        <f t="shared" si="0"/>
        <v>NO</v>
      </c>
      <c r="D33" s="14" t="s">
        <v>99</v>
      </c>
      <c r="E33" s="14">
        <f t="shared" ca="1" si="1"/>
        <v>0.36193854202522213</v>
      </c>
    </row>
    <row r="34" spans="1:5" ht="16.95" hidden="1" customHeight="1">
      <c r="A34" s="15" t="s">
        <v>818</v>
      </c>
      <c r="B34" t="s">
        <v>515</v>
      </c>
      <c r="C34" t="str">
        <f t="shared" si="0"/>
        <v>YES</v>
      </c>
      <c r="D34" s="14" t="s">
        <v>633</v>
      </c>
      <c r="E34" s="14">
        <f t="shared" ca="1" si="1"/>
        <v>0.21585250549691104</v>
      </c>
    </row>
    <row r="35" spans="1:5" ht="16.95" hidden="1" customHeight="1">
      <c r="A35" s="15" t="s">
        <v>785</v>
      </c>
      <c r="B35" t="s">
        <v>466</v>
      </c>
      <c r="C35" t="str">
        <f t="shared" si="0"/>
        <v>YES</v>
      </c>
      <c r="D35" s="14" t="s">
        <v>151</v>
      </c>
      <c r="E35" s="14">
        <f t="shared" ca="1" si="1"/>
        <v>0.68549207999805473</v>
      </c>
    </row>
    <row r="36" spans="1:5" ht="16.95" customHeight="1">
      <c r="A36" s="15" t="s">
        <v>728</v>
      </c>
      <c r="B36" t="s">
        <v>530</v>
      </c>
      <c r="C36" t="str">
        <f t="shared" si="0"/>
        <v>NO</v>
      </c>
      <c r="D36" s="14" t="s">
        <v>23</v>
      </c>
      <c r="E36" s="14">
        <f t="shared" ca="1" si="1"/>
        <v>0.82051645175623045</v>
      </c>
    </row>
    <row r="37" spans="1:5" ht="16.95" hidden="1" customHeight="1">
      <c r="A37" s="15" t="s">
        <v>611</v>
      </c>
      <c r="B37" t="s">
        <v>400</v>
      </c>
      <c r="C37" t="str">
        <f t="shared" si="0"/>
        <v>YES</v>
      </c>
      <c r="D37" s="14" t="s">
        <v>93</v>
      </c>
      <c r="E37" s="14">
        <f t="shared" ca="1" si="1"/>
        <v>0.78491702802100372</v>
      </c>
    </row>
    <row r="38" spans="1:5" ht="16.95" customHeight="1">
      <c r="A38" s="15" t="s">
        <v>563</v>
      </c>
      <c r="B38" t="s">
        <v>530</v>
      </c>
      <c r="C38" t="str">
        <f t="shared" si="0"/>
        <v>NO</v>
      </c>
      <c r="D38" s="14" t="s">
        <v>564</v>
      </c>
      <c r="E38" s="14">
        <f t="shared" ca="1" si="1"/>
        <v>0.73118558104269482</v>
      </c>
    </row>
    <row r="39" spans="1:5" ht="16.95" customHeight="1">
      <c r="A39" s="15" t="s">
        <v>793</v>
      </c>
      <c r="B39" t="s">
        <v>879</v>
      </c>
      <c r="C39" t="str">
        <f t="shared" si="0"/>
        <v>NO</v>
      </c>
      <c r="D39" s="14" t="s">
        <v>794</v>
      </c>
      <c r="E39" s="14">
        <f t="shared" ca="1" si="1"/>
        <v>0.23161264484624522</v>
      </c>
    </row>
    <row r="40" spans="1:5" ht="16.95" hidden="1" customHeight="1">
      <c r="A40" s="15" t="s">
        <v>838</v>
      </c>
      <c r="B40" t="s">
        <v>526</v>
      </c>
      <c r="C40" t="str">
        <f t="shared" si="0"/>
        <v>YES</v>
      </c>
      <c r="D40" s="14" t="s">
        <v>47</v>
      </c>
      <c r="E40" s="14">
        <f t="shared" ca="1" si="1"/>
        <v>0.52862341106160549</v>
      </c>
    </row>
    <row r="41" spans="1:5" ht="16.95" customHeight="1">
      <c r="A41" s="15" t="s">
        <v>532</v>
      </c>
      <c r="B41" t="s">
        <v>888</v>
      </c>
      <c r="C41" t="str">
        <f t="shared" si="0"/>
        <v>NO</v>
      </c>
      <c r="D41" s="14" t="s">
        <v>586</v>
      </c>
      <c r="E41" s="14">
        <f t="shared" ca="1" si="1"/>
        <v>0.58749205724331433</v>
      </c>
    </row>
    <row r="42" spans="1:5" ht="16.95" hidden="1" customHeight="1">
      <c r="A42" s="15" t="s">
        <v>843</v>
      </c>
      <c r="B42" t="s">
        <v>882</v>
      </c>
      <c r="C42" t="str">
        <f t="shared" si="0"/>
        <v>YES</v>
      </c>
      <c r="D42" s="14" t="s">
        <v>705</v>
      </c>
      <c r="E42" s="14">
        <f t="shared" ca="1" si="1"/>
        <v>0.70127094155007408</v>
      </c>
    </row>
    <row r="43" spans="1:5" ht="16.95" hidden="1" customHeight="1">
      <c r="A43" s="15" t="s">
        <v>619</v>
      </c>
      <c r="B43" t="s">
        <v>873</v>
      </c>
      <c r="C43" t="str">
        <f t="shared" si="0"/>
        <v>YES</v>
      </c>
      <c r="D43" s="14" t="s">
        <v>95</v>
      </c>
      <c r="E43" s="14">
        <f t="shared" ca="1" si="1"/>
        <v>0.82450159867119954</v>
      </c>
    </row>
    <row r="44" spans="1:5" ht="16.95" customHeight="1">
      <c r="A44" s="15" t="s">
        <v>812</v>
      </c>
      <c r="B44" t="s">
        <v>530</v>
      </c>
      <c r="C44" t="str">
        <f t="shared" si="0"/>
        <v>NO</v>
      </c>
      <c r="D44" s="14" t="s">
        <v>813</v>
      </c>
      <c r="E44" s="14">
        <f t="shared" ca="1" si="1"/>
        <v>0.52777847381482057</v>
      </c>
    </row>
    <row r="45" spans="1:5" ht="16.95" hidden="1" customHeight="1">
      <c r="A45" s="15" t="s">
        <v>747</v>
      </c>
      <c r="B45" t="s">
        <v>414</v>
      </c>
      <c r="C45" t="str">
        <f t="shared" si="0"/>
        <v>YES</v>
      </c>
      <c r="D45" s="14" t="s">
        <v>118</v>
      </c>
      <c r="E45" s="14">
        <f t="shared" ca="1" si="1"/>
        <v>0.33778835134536789</v>
      </c>
    </row>
    <row r="46" spans="1:5" ht="16.95" customHeight="1">
      <c r="A46" s="15" t="s">
        <v>13</v>
      </c>
      <c r="B46" t="s">
        <v>530</v>
      </c>
      <c r="C46" t="str">
        <f t="shared" si="0"/>
        <v>NO</v>
      </c>
      <c r="D46" s="14" t="s">
        <v>22</v>
      </c>
      <c r="E46" s="14">
        <f t="shared" ca="1" si="1"/>
        <v>4.9258601256935264E-2</v>
      </c>
    </row>
    <row r="47" spans="1:5" ht="16.95" hidden="1" customHeight="1">
      <c r="A47" s="15" t="s">
        <v>742</v>
      </c>
      <c r="B47" t="s">
        <v>405</v>
      </c>
      <c r="C47" t="str">
        <f t="shared" si="0"/>
        <v>YES</v>
      </c>
      <c r="D47" s="14" t="s">
        <v>48</v>
      </c>
      <c r="E47" s="14">
        <f t="shared" ca="1" si="1"/>
        <v>0.11598956890089862</v>
      </c>
    </row>
    <row r="48" spans="1:5" ht="16.95" customHeight="1">
      <c r="A48" s="15" t="s">
        <v>177</v>
      </c>
      <c r="B48" t="s">
        <v>530</v>
      </c>
      <c r="C48" t="str">
        <f t="shared" si="0"/>
        <v>NO</v>
      </c>
      <c r="D48" s="14" t="s">
        <v>708</v>
      </c>
      <c r="E48" s="14">
        <f t="shared" ca="1" si="1"/>
        <v>0.91259021256803619</v>
      </c>
    </row>
    <row r="49" spans="1:5" ht="16.95" hidden="1" customHeight="1">
      <c r="A49" s="15" t="s">
        <v>730</v>
      </c>
      <c r="B49" t="s">
        <v>387</v>
      </c>
      <c r="C49" t="str">
        <f t="shared" si="0"/>
        <v>YES</v>
      </c>
      <c r="D49" s="14" t="s">
        <v>106</v>
      </c>
      <c r="E49" s="14">
        <f t="shared" ca="1" si="1"/>
        <v>4.9201091210528847E-2</v>
      </c>
    </row>
    <row r="50" spans="1:5" ht="16.95" hidden="1" customHeight="1">
      <c r="A50" s="15" t="s">
        <v>51</v>
      </c>
      <c r="B50" t="s">
        <v>883</v>
      </c>
      <c r="C50" t="str">
        <f t="shared" si="0"/>
        <v>YES</v>
      </c>
      <c r="D50" s="14" t="s">
        <v>579</v>
      </c>
      <c r="E50" s="14">
        <f t="shared" ca="1" si="1"/>
        <v>0.50937993672321891</v>
      </c>
    </row>
    <row r="51" spans="1:5" ht="16.95" hidden="1" customHeight="1">
      <c r="A51" s="15" t="s">
        <v>580</v>
      </c>
      <c r="B51" t="s">
        <v>884</v>
      </c>
      <c r="C51" t="str">
        <f t="shared" si="0"/>
        <v>YES</v>
      </c>
      <c r="D51" s="14" t="s">
        <v>581</v>
      </c>
      <c r="E51" s="14">
        <f t="shared" ca="1" si="1"/>
        <v>1.121013987247732E-2</v>
      </c>
    </row>
    <row r="52" spans="1:5" ht="16.95" hidden="1" customHeight="1">
      <c r="A52" s="15" t="s">
        <v>44</v>
      </c>
      <c r="B52" t="s">
        <v>885</v>
      </c>
      <c r="C52" t="str">
        <f t="shared" si="0"/>
        <v>YES</v>
      </c>
      <c r="D52" s="14" t="s">
        <v>45</v>
      </c>
      <c r="E52" s="14">
        <f t="shared" ca="1" si="1"/>
        <v>0.93924875441598465</v>
      </c>
    </row>
    <row r="53" spans="1:5" ht="16.95" customHeight="1">
      <c r="A53" s="15" t="s">
        <v>380</v>
      </c>
      <c r="B53" t="s">
        <v>530</v>
      </c>
      <c r="C53" t="str">
        <f t="shared" si="0"/>
        <v>NO</v>
      </c>
      <c r="D53" s="14" t="s">
        <v>381</v>
      </c>
      <c r="E53" s="14">
        <f t="shared" ca="1" si="1"/>
        <v>0.51977948009258979</v>
      </c>
    </row>
    <row r="54" spans="1:5" ht="16.95" hidden="1" customHeight="1">
      <c r="A54" s="15" t="s">
        <v>590</v>
      </c>
      <c r="B54" t="s">
        <v>886</v>
      </c>
      <c r="C54" t="str">
        <f t="shared" si="0"/>
        <v>YES</v>
      </c>
      <c r="D54" s="14" t="s">
        <v>71</v>
      </c>
      <c r="E54" s="14">
        <f t="shared" ca="1" si="1"/>
        <v>0.89236509088242222</v>
      </c>
    </row>
    <row r="55" spans="1:5" ht="16.95" hidden="1" customHeight="1">
      <c r="A55" s="15" t="s">
        <v>61</v>
      </c>
      <c r="B55" t="s">
        <v>887</v>
      </c>
      <c r="C55" t="str">
        <f t="shared" si="0"/>
        <v>YES</v>
      </c>
      <c r="D55" s="14" t="s">
        <v>585</v>
      </c>
      <c r="E55" s="14">
        <f t="shared" ca="1" si="1"/>
        <v>0.61585504187097939</v>
      </c>
    </row>
    <row r="56" spans="1:5" ht="16.95" hidden="1" customHeight="1">
      <c r="A56" s="15" t="s">
        <v>782</v>
      </c>
      <c r="B56" t="s">
        <v>463</v>
      </c>
      <c r="C56" t="str">
        <f t="shared" si="0"/>
        <v>YES</v>
      </c>
      <c r="D56" s="14" t="s">
        <v>153</v>
      </c>
      <c r="E56" s="14">
        <f t="shared" ca="1" si="1"/>
        <v>0.80819398779020235</v>
      </c>
    </row>
    <row r="57" spans="1:5" ht="16.95" hidden="1" customHeight="1">
      <c r="A57" s="15" t="s">
        <v>632</v>
      </c>
      <c r="B57" t="s">
        <v>515</v>
      </c>
      <c r="C57" t="str">
        <f t="shared" si="0"/>
        <v>YES</v>
      </c>
      <c r="D57" s="14" t="s">
        <v>633</v>
      </c>
      <c r="E57" s="14">
        <f t="shared" ca="1" si="1"/>
        <v>0.12689801966331105</v>
      </c>
    </row>
    <row r="58" spans="1:5" ht="16.95" customHeight="1">
      <c r="A58" s="15" t="s">
        <v>733</v>
      </c>
      <c r="B58" t="s">
        <v>888</v>
      </c>
      <c r="C58" t="str">
        <f t="shared" si="0"/>
        <v>NO</v>
      </c>
      <c r="D58" s="14" t="s">
        <v>734</v>
      </c>
      <c r="E58" s="14">
        <f t="shared" ca="1" si="1"/>
        <v>0.64985007488776036</v>
      </c>
    </row>
    <row r="59" spans="1:5" ht="16.95" hidden="1" customHeight="1">
      <c r="A59" s="15" t="s">
        <v>605</v>
      </c>
      <c r="B59" t="s">
        <v>891</v>
      </c>
      <c r="C59" t="str">
        <f t="shared" si="0"/>
        <v>YES</v>
      </c>
      <c r="D59" s="14" t="s">
        <v>606</v>
      </c>
      <c r="E59" s="14">
        <f t="shared" ca="1" si="1"/>
        <v>0.19098947475826522</v>
      </c>
    </row>
    <row r="60" spans="1:5" ht="16.95" hidden="1" customHeight="1">
      <c r="A60" s="15" t="s">
        <v>700</v>
      </c>
      <c r="B60" t="s">
        <v>360</v>
      </c>
      <c r="C60" t="str">
        <f t="shared" si="0"/>
        <v>YES</v>
      </c>
      <c r="D60" s="14" t="s">
        <v>701</v>
      </c>
      <c r="E60" s="14">
        <f t="shared" ca="1" si="1"/>
        <v>0.83493608198238478</v>
      </c>
    </row>
    <row r="61" spans="1:5" ht="16.95" customHeight="1">
      <c r="A61" s="15" t="s">
        <v>709</v>
      </c>
      <c r="B61" t="s">
        <v>530</v>
      </c>
      <c r="C61" t="str">
        <f t="shared" si="0"/>
        <v>NO</v>
      </c>
      <c r="D61" s="14" t="s">
        <v>178</v>
      </c>
      <c r="E61" s="14">
        <f t="shared" ca="1" si="1"/>
        <v>0.944119793007826</v>
      </c>
    </row>
    <row r="62" spans="1:5" ht="16.95" hidden="1" customHeight="1">
      <c r="A62" s="15" t="s">
        <v>737</v>
      </c>
      <c r="B62" t="s">
        <v>894</v>
      </c>
      <c r="C62" t="str">
        <f t="shared" si="0"/>
        <v>YES</v>
      </c>
      <c r="D62" s="14" t="s">
        <v>615</v>
      </c>
      <c r="E62" s="14">
        <f t="shared" ca="1" si="1"/>
        <v>0.68543442071760918</v>
      </c>
    </row>
    <row r="63" spans="1:5" ht="16.95" hidden="1" customHeight="1">
      <c r="A63" s="15" t="s">
        <v>37</v>
      </c>
      <c r="B63" t="s">
        <v>892</v>
      </c>
      <c r="C63" t="str">
        <f t="shared" si="0"/>
        <v>YES</v>
      </c>
      <c r="D63" s="14" t="s">
        <v>38</v>
      </c>
      <c r="E63" s="14">
        <f t="shared" ca="1" si="1"/>
        <v>0.61818214570564167</v>
      </c>
    </row>
    <row r="64" spans="1:5" ht="16.95" hidden="1" customHeight="1">
      <c r="A64" s="15" t="s">
        <v>777</v>
      </c>
      <c r="B64" t="s">
        <v>895</v>
      </c>
      <c r="C64" t="str">
        <f t="shared" si="0"/>
        <v>YES</v>
      </c>
      <c r="D64" s="14" t="s">
        <v>568</v>
      </c>
      <c r="E64" s="14">
        <f t="shared" ca="1" si="1"/>
        <v>0.68842551887447656</v>
      </c>
    </row>
    <row r="65" spans="1:5" ht="16.95" hidden="1" customHeight="1">
      <c r="A65" s="15" t="s">
        <v>74</v>
      </c>
      <c r="B65" t="s">
        <v>896</v>
      </c>
      <c r="C65" t="str">
        <f t="shared" si="0"/>
        <v>YES</v>
      </c>
      <c r="D65" s="14" t="s">
        <v>75</v>
      </c>
      <c r="E65" s="14">
        <f t="shared" ca="1" si="1"/>
        <v>0.19084596555315525</v>
      </c>
    </row>
    <row r="66" spans="1:5" ht="16.95" hidden="1" customHeight="1">
      <c r="A66" s="15" t="s">
        <v>641</v>
      </c>
      <c r="B66" t="s">
        <v>897</v>
      </c>
      <c r="C66" t="str">
        <f t="shared" ref="C66:C129" si="2">IF(ISNUMBER(SEARCH(B66,D66)),"YES","NO")</f>
        <v>YES</v>
      </c>
      <c r="D66" s="14" t="s">
        <v>117</v>
      </c>
      <c r="E66" s="14">
        <f t="shared" ref="E66:E129" ca="1" si="3">RAND()</f>
        <v>0.54314473903444083</v>
      </c>
    </row>
    <row r="67" spans="1:5" ht="16.95" hidden="1" customHeight="1">
      <c r="A67" s="15" t="s">
        <v>607</v>
      </c>
      <c r="B67" t="s">
        <v>898</v>
      </c>
      <c r="C67" t="str">
        <f t="shared" si="2"/>
        <v>YES</v>
      </c>
      <c r="D67" s="14" t="s">
        <v>87</v>
      </c>
      <c r="E67" s="14">
        <f t="shared" ca="1" si="3"/>
        <v>0.77629776444612941</v>
      </c>
    </row>
    <row r="68" spans="1:5" ht="16.95" hidden="1" customHeight="1">
      <c r="A68" s="15" t="s">
        <v>820</v>
      </c>
      <c r="B68" t="s">
        <v>517</v>
      </c>
      <c r="C68" t="str">
        <f t="shared" si="2"/>
        <v>YES</v>
      </c>
      <c r="D68" s="14" t="s">
        <v>821</v>
      </c>
      <c r="E68" s="14">
        <f t="shared" ca="1" si="3"/>
        <v>0.85555237530261641</v>
      </c>
    </row>
    <row r="69" spans="1:5" ht="16.95" hidden="1" customHeight="1">
      <c r="A69" s="15" t="s">
        <v>180</v>
      </c>
      <c r="B69" t="s">
        <v>899</v>
      </c>
      <c r="C69" t="str">
        <f t="shared" si="2"/>
        <v>YES</v>
      </c>
      <c r="D69" s="14" t="s">
        <v>714</v>
      </c>
      <c r="E69" s="14">
        <f t="shared" ca="1" si="3"/>
        <v>0.47861020147408251</v>
      </c>
    </row>
    <row r="70" spans="1:5" ht="16.95" customHeight="1">
      <c r="A70" s="15" t="s">
        <v>743</v>
      </c>
      <c r="B70" t="s">
        <v>530</v>
      </c>
      <c r="C70" t="str">
        <f t="shared" si="2"/>
        <v>NO</v>
      </c>
      <c r="D70" s="14" t="s">
        <v>116</v>
      </c>
      <c r="E70" s="14">
        <f t="shared" ca="1" si="3"/>
        <v>0.45823925337401272</v>
      </c>
    </row>
    <row r="71" spans="1:5" ht="16.95" hidden="1" customHeight="1">
      <c r="A71" s="15" t="s">
        <v>806</v>
      </c>
      <c r="B71" t="s">
        <v>507</v>
      </c>
      <c r="C71" t="str">
        <f t="shared" si="2"/>
        <v>YES</v>
      </c>
      <c r="D71" s="14" t="s">
        <v>807</v>
      </c>
      <c r="E71" s="14">
        <f t="shared" ca="1" si="3"/>
        <v>0.87539081043921008</v>
      </c>
    </row>
    <row r="72" spans="1:5" ht="16.95" hidden="1" customHeight="1">
      <c r="A72" s="15" t="s">
        <v>678</v>
      </c>
      <c r="B72" t="s">
        <v>900</v>
      </c>
      <c r="C72" t="str">
        <f t="shared" si="2"/>
        <v>YES</v>
      </c>
      <c r="D72" s="14" t="s">
        <v>679</v>
      </c>
      <c r="E72" s="14">
        <f t="shared" ca="1" si="3"/>
        <v>0.88042486244844986</v>
      </c>
    </row>
    <row r="73" spans="1:5" ht="16.95" customHeight="1">
      <c r="A73" s="15" t="s">
        <v>783</v>
      </c>
      <c r="B73" t="s">
        <v>864</v>
      </c>
      <c r="C73" t="str">
        <f t="shared" si="2"/>
        <v>NO</v>
      </c>
      <c r="D73" s="14" t="s">
        <v>98</v>
      </c>
      <c r="E73" s="14">
        <f t="shared" ca="1" si="3"/>
        <v>0.22421159860225237</v>
      </c>
    </row>
    <row r="74" spans="1:5" ht="16.95" customHeight="1">
      <c r="A74" s="15" t="s">
        <v>795</v>
      </c>
      <c r="B74" t="s">
        <v>530</v>
      </c>
      <c r="C74" t="str">
        <f t="shared" si="2"/>
        <v>NO</v>
      </c>
      <c r="D74" s="14" t="s">
        <v>796</v>
      </c>
      <c r="E74" s="14">
        <f t="shared" ca="1" si="3"/>
        <v>0.50785448633641805</v>
      </c>
    </row>
    <row r="75" spans="1:5" ht="16.95" customHeight="1">
      <c r="A75" s="15" t="s">
        <v>698</v>
      </c>
      <c r="B75" t="s">
        <v>530</v>
      </c>
      <c r="C75" t="str">
        <f t="shared" si="2"/>
        <v>NO</v>
      </c>
      <c r="D75" s="14" t="s">
        <v>167</v>
      </c>
      <c r="E75" s="14">
        <f t="shared" ca="1" si="3"/>
        <v>0.49822682964651632</v>
      </c>
    </row>
    <row r="76" spans="1:5" ht="16.95" hidden="1" customHeight="1">
      <c r="A76" s="15" t="s">
        <v>534</v>
      </c>
      <c r="B76" t="s">
        <v>114</v>
      </c>
      <c r="C76" t="str">
        <f t="shared" si="2"/>
        <v>YES</v>
      </c>
      <c r="D76" s="14" t="s">
        <v>638</v>
      </c>
      <c r="E76" s="14">
        <f t="shared" ca="1" si="3"/>
        <v>5.5180634866675682E-2</v>
      </c>
    </row>
    <row r="77" spans="1:5" ht="16.95" hidden="1" customHeight="1">
      <c r="A77" s="15" t="s">
        <v>652</v>
      </c>
      <c r="B77" t="s">
        <v>528</v>
      </c>
      <c r="C77" t="str">
        <f t="shared" si="2"/>
        <v>YES</v>
      </c>
      <c r="D77" s="14" t="s">
        <v>149</v>
      </c>
      <c r="E77" s="14">
        <f t="shared" ca="1" si="3"/>
        <v>0.44630395302229331</v>
      </c>
    </row>
    <row r="78" spans="1:5" ht="16.95" hidden="1" customHeight="1">
      <c r="A78" s="15" t="s">
        <v>539</v>
      </c>
      <c r="B78" t="s">
        <v>845</v>
      </c>
      <c r="C78" t="str">
        <f t="shared" si="2"/>
        <v>YES</v>
      </c>
      <c r="D78" s="14" t="s">
        <v>2</v>
      </c>
      <c r="E78" s="14">
        <f t="shared" ca="1" si="3"/>
        <v>0.28308083295892483</v>
      </c>
    </row>
    <row r="79" spans="1:5" ht="16.95" customHeight="1">
      <c r="A79" s="15" t="s">
        <v>622</v>
      </c>
      <c r="B79" t="s">
        <v>530</v>
      </c>
      <c r="C79" t="str">
        <f t="shared" si="2"/>
        <v>NO</v>
      </c>
      <c r="D79" s="14" t="s">
        <v>99</v>
      </c>
      <c r="E79" s="14">
        <f t="shared" ca="1" si="3"/>
        <v>8.1477312918800227E-2</v>
      </c>
    </row>
    <row r="80" spans="1:5" ht="16.95" customHeight="1">
      <c r="A80" s="15" t="s">
        <v>702</v>
      </c>
      <c r="B80" t="s">
        <v>530</v>
      </c>
      <c r="C80" t="str">
        <f t="shared" si="2"/>
        <v>NO</v>
      </c>
      <c r="D80" s="14" t="s">
        <v>171</v>
      </c>
      <c r="E80" s="14">
        <f t="shared" ca="1" si="3"/>
        <v>0.18714937209039439</v>
      </c>
    </row>
    <row r="81" spans="1:5" ht="16.95" customHeight="1">
      <c r="A81" s="15" t="s">
        <v>780</v>
      </c>
      <c r="B81" t="s">
        <v>530</v>
      </c>
      <c r="C81" t="str">
        <f t="shared" si="2"/>
        <v>NO</v>
      </c>
      <c r="D81" s="14" t="s">
        <v>781</v>
      </c>
      <c r="E81" s="14">
        <f t="shared" ca="1" si="3"/>
        <v>0.20612791346061032</v>
      </c>
    </row>
    <row r="82" spans="1:5" ht="16.95" customHeight="1">
      <c r="A82" s="15" t="s">
        <v>165</v>
      </c>
      <c r="B82" t="s">
        <v>530</v>
      </c>
      <c r="C82" t="str">
        <f t="shared" si="2"/>
        <v>NO</v>
      </c>
      <c r="D82" s="14" t="s">
        <v>694</v>
      </c>
      <c r="E82" s="14">
        <f t="shared" ca="1" si="3"/>
        <v>0.60973659280719428</v>
      </c>
    </row>
    <row r="83" spans="1:5" ht="16.95" hidden="1" customHeight="1">
      <c r="A83" s="15" t="s">
        <v>736</v>
      </c>
      <c r="B83" t="s">
        <v>393</v>
      </c>
      <c r="C83" t="str">
        <f t="shared" si="2"/>
        <v>YES</v>
      </c>
      <c r="D83" s="14" t="s">
        <v>172</v>
      </c>
      <c r="E83" s="14">
        <f t="shared" ca="1" si="3"/>
        <v>0.82017032531193634</v>
      </c>
    </row>
    <row r="84" spans="1:5" ht="16.95" customHeight="1">
      <c r="A84" s="15" t="s">
        <v>81</v>
      </c>
      <c r="B84" t="s">
        <v>530</v>
      </c>
      <c r="C84" t="str">
        <f t="shared" si="2"/>
        <v>NO</v>
      </c>
      <c r="D84" s="14" t="s">
        <v>599</v>
      </c>
      <c r="E84" s="14">
        <f t="shared" ca="1" si="3"/>
        <v>0.28190060157215824</v>
      </c>
    </row>
    <row r="85" spans="1:5" ht="16.95" customHeight="1">
      <c r="A85" s="15" t="s">
        <v>724</v>
      </c>
      <c r="B85" t="s">
        <v>530</v>
      </c>
      <c r="C85" t="str">
        <f t="shared" si="2"/>
        <v>NO</v>
      </c>
      <c r="D85" s="14" t="s">
        <v>725</v>
      </c>
      <c r="E85" s="14">
        <f t="shared" ca="1" si="3"/>
        <v>0.94666431133892137</v>
      </c>
    </row>
    <row r="86" spans="1:5" ht="16.95" customHeight="1">
      <c r="A86" s="15" t="s">
        <v>683</v>
      </c>
      <c r="B86" t="s">
        <v>530</v>
      </c>
      <c r="C86" t="str">
        <f t="shared" si="2"/>
        <v>NO</v>
      </c>
      <c r="D86" s="14" t="s">
        <v>161</v>
      </c>
      <c r="E86" s="14">
        <f t="shared" ca="1" si="3"/>
        <v>0.38954067488331823</v>
      </c>
    </row>
    <row r="87" spans="1:5" ht="16.95" hidden="1" customHeight="1">
      <c r="A87" s="15" t="s">
        <v>640</v>
      </c>
      <c r="B87" t="s">
        <v>407</v>
      </c>
      <c r="C87" t="str">
        <f t="shared" si="2"/>
        <v>YES</v>
      </c>
      <c r="D87" s="14" t="s">
        <v>116</v>
      </c>
      <c r="E87" s="14">
        <f t="shared" ca="1" si="3"/>
        <v>0.86136991622121062</v>
      </c>
    </row>
    <row r="88" spans="1:5" ht="16.95" hidden="1" customHeight="1">
      <c r="A88" s="15" t="s">
        <v>62</v>
      </c>
      <c r="B88" t="s">
        <v>889</v>
      </c>
      <c r="C88" t="str">
        <f t="shared" si="2"/>
        <v>YES</v>
      </c>
      <c r="D88" s="14" t="s">
        <v>63</v>
      </c>
      <c r="E88" s="14">
        <f t="shared" ca="1" si="3"/>
        <v>0.97500465224446409</v>
      </c>
    </row>
    <row r="89" spans="1:5" ht="16.95" hidden="1" customHeight="1">
      <c r="A89" s="15" t="s">
        <v>542</v>
      </c>
      <c r="B89" t="s">
        <v>849</v>
      </c>
      <c r="C89" t="str">
        <f t="shared" si="2"/>
        <v>YES</v>
      </c>
      <c r="D89" s="14" t="s">
        <v>543</v>
      </c>
      <c r="E89" s="14">
        <f t="shared" ca="1" si="3"/>
        <v>0.34457015930092849</v>
      </c>
    </row>
    <row r="90" spans="1:5" ht="16.95" customHeight="1">
      <c r="A90" s="15" t="s">
        <v>569</v>
      </c>
      <c r="B90" t="s">
        <v>530</v>
      </c>
      <c r="C90" t="str">
        <f t="shared" si="2"/>
        <v>NO</v>
      </c>
      <c r="D90" s="14" t="s">
        <v>31</v>
      </c>
      <c r="E90" s="14">
        <f t="shared" ca="1" si="3"/>
        <v>1.9919637454355876E-2</v>
      </c>
    </row>
    <row r="91" spans="1:5" ht="16.95" customHeight="1">
      <c r="A91" s="15" t="s">
        <v>120</v>
      </c>
      <c r="B91" t="s">
        <v>530</v>
      </c>
      <c r="C91" t="str">
        <f t="shared" si="2"/>
        <v>NO</v>
      </c>
      <c r="D91" s="14" t="s">
        <v>645</v>
      </c>
      <c r="E91" s="14">
        <f t="shared" ca="1" si="3"/>
        <v>0.29743714264657506</v>
      </c>
    </row>
    <row r="92" spans="1:5" ht="16.95" customHeight="1">
      <c r="A92" s="15" t="s">
        <v>699</v>
      </c>
      <c r="B92" t="s">
        <v>530</v>
      </c>
      <c r="C92" t="str">
        <f t="shared" si="2"/>
        <v>NO</v>
      </c>
      <c r="D92" s="14" t="s">
        <v>168</v>
      </c>
      <c r="E92" s="14">
        <f t="shared" ca="1" si="3"/>
        <v>0.22711050105004726</v>
      </c>
    </row>
    <row r="93" spans="1:5" ht="16.95" hidden="1" customHeight="1">
      <c r="A93" s="15" t="s">
        <v>533</v>
      </c>
      <c r="B93" t="s">
        <v>391</v>
      </c>
      <c r="C93" t="str">
        <f t="shared" si="2"/>
        <v>YES</v>
      </c>
      <c r="D93" s="14" t="s">
        <v>111</v>
      </c>
      <c r="E93" s="14">
        <f t="shared" ca="1" si="3"/>
        <v>0.525394990138493</v>
      </c>
    </row>
    <row r="94" spans="1:5" ht="16.95" hidden="1" customHeight="1">
      <c r="A94" s="15" t="s">
        <v>721</v>
      </c>
      <c r="B94" t="s">
        <v>372</v>
      </c>
      <c r="C94" t="str">
        <f t="shared" si="2"/>
        <v>YES</v>
      </c>
      <c r="D94" s="14" t="s">
        <v>722</v>
      </c>
      <c r="E94" s="14">
        <f t="shared" ca="1" si="3"/>
        <v>0.54376851331786358</v>
      </c>
    </row>
    <row r="95" spans="1:5" ht="16.95" customHeight="1">
      <c r="A95" s="15" t="s">
        <v>602</v>
      </c>
      <c r="B95" t="s">
        <v>530</v>
      </c>
      <c r="C95" t="str">
        <f t="shared" si="2"/>
        <v>NO</v>
      </c>
      <c r="D95" s="14" t="s">
        <v>86</v>
      </c>
      <c r="E95" s="14">
        <f t="shared" ca="1" si="3"/>
        <v>0.25719025189515599</v>
      </c>
    </row>
    <row r="96" spans="1:5" ht="16.95" hidden="1" customHeight="1">
      <c r="A96" s="15" t="s">
        <v>816</v>
      </c>
      <c r="B96" t="s">
        <v>514</v>
      </c>
      <c r="C96" t="str">
        <f t="shared" si="2"/>
        <v>YES</v>
      </c>
      <c r="D96" s="14" t="s">
        <v>817</v>
      </c>
      <c r="E96" s="14">
        <f t="shared" ca="1" si="3"/>
        <v>4.4743856425553896E-2</v>
      </c>
    </row>
    <row r="97" spans="1:5" ht="16.95" hidden="1" customHeight="1">
      <c r="A97" s="15" t="s">
        <v>612</v>
      </c>
      <c r="B97" t="s">
        <v>893</v>
      </c>
      <c r="C97" t="str">
        <f t="shared" si="2"/>
        <v>YES</v>
      </c>
      <c r="D97" s="14" t="s">
        <v>613</v>
      </c>
      <c r="E97" s="14">
        <f t="shared" ca="1" si="3"/>
        <v>0.46049818818280819</v>
      </c>
    </row>
    <row r="98" spans="1:5" ht="16.95" hidden="1" customHeight="1">
      <c r="A98" s="15" t="s">
        <v>58</v>
      </c>
      <c r="B98" t="s">
        <v>902</v>
      </c>
      <c r="C98" t="str">
        <f t="shared" si="2"/>
        <v>YES</v>
      </c>
      <c r="D98" s="14" t="s">
        <v>59</v>
      </c>
      <c r="E98" s="14">
        <f t="shared" ca="1" si="3"/>
        <v>0.38506696240235483</v>
      </c>
    </row>
    <row r="99" spans="1:5" ht="16.95" hidden="1" customHeight="1">
      <c r="A99" s="15" t="s">
        <v>126</v>
      </c>
      <c r="B99" t="s">
        <v>903</v>
      </c>
      <c r="C99" t="str">
        <f t="shared" si="2"/>
        <v>YES</v>
      </c>
      <c r="D99" s="14" t="s">
        <v>127</v>
      </c>
      <c r="E99" s="14">
        <f t="shared" ca="1" si="3"/>
        <v>0.74738196823654057</v>
      </c>
    </row>
    <row r="100" spans="1:5" ht="16.95" customHeight="1">
      <c r="A100" s="15" t="s">
        <v>661</v>
      </c>
      <c r="B100" t="s">
        <v>530</v>
      </c>
      <c r="C100" t="str">
        <f t="shared" si="2"/>
        <v>NO</v>
      </c>
      <c r="D100" s="14" t="s">
        <v>662</v>
      </c>
      <c r="E100" s="14">
        <f t="shared" ca="1" si="3"/>
        <v>0.83630919368311141</v>
      </c>
    </row>
    <row r="101" spans="1:5" ht="16.95" hidden="1" customHeight="1">
      <c r="A101" s="15" t="s">
        <v>544</v>
      </c>
      <c r="B101" t="s">
        <v>857</v>
      </c>
      <c r="C101" t="str">
        <f t="shared" si="2"/>
        <v>YES</v>
      </c>
      <c r="D101" s="14" t="s">
        <v>545</v>
      </c>
      <c r="E101" s="14">
        <f t="shared" ca="1" si="3"/>
        <v>0.77939736235691237</v>
      </c>
    </row>
    <row r="102" spans="1:5" ht="16.95" hidden="1" customHeight="1">
      <c r="A102" s="15" t="s">
        <v>428</v>
      </c>
      <c r="B102" t="s">
        <v>850</v>
      </c>
      <c r="C102" t="str">
        <f t="shared" si="2"/>
        <v>YES</v>
      </c>
      <c r="D102" s="14" t="s">
        <v>764</v>
      </c>
      <c r="E102" s="14">
        <f t="shared" ca="1" si="3"/>
        <v>0.42126036827104774</v>
      </c>
    </row>
    <row r="103" spans="1:5" ht="16.95" customHeight="1">
      <c r="A103" s="15" t="s">
        <v>560</v>
      </c>
      <c r="B103" t="s">
        <v>530</v>
      </c>
      <c r="C103" t="str">
        <f t="shared" si="2"/>
        <v>NO</v>
      </c>
      <c r="D103" s="14" t="s">
        <v>27</v>
      </c>
      <c r="E103" s="14">
        <f t="shared" ca="1" si="3"/>
        <v>0.10029975661371038</v>
      </c>
    </row>
    <row r="104" spans="1:5" ht="16.95" hidden="1" customHeight="1">
      <c r="A104" s="15" t="s">
        <v>536</v>
      </c>
      <c r="B104" t="s">
        <v>851</v>
      </c>
      <c r="C104" t="str">
        <f t="shared" si="2"/>
        <v>YES</v>
      </c>
      <c r="D104" s="14" t="s">
        <v>97</v>
      </c>
      <c r="E104" s="14">
        <f t="shared" ca="1" si="3"/>
        <v>0.97363054652794701</v>
      </c>
    </row>
    <row r="105" spans="1:5" ht="16.95" hidden="1" customHeight="1">
      <c r="A105" s="15" t="s">
        <v>839</v>
      </c>
      <c r="B105" t="s">
        <v>393</v>
      </c>
      <c r="C105" t="str">
        <f t="shared" si="2"/>
        <v>YES</v>
      </c>
      <c r="D105" s="14" t="s">
        <v>172</v>
      </c>
      <c r="E105" s="14">
        <f t="shared" ca="1" si="3"/>
        <v>0.6212509562133034</v>
      </c>
    </row>
    <row r="106" spans="1:5" ht="16.95" hidden="1" customHeight="1">
      <c r="A106" s="15" t="s">
        <v>656</v>
      </c>
      <c r="B106" t="s">
        <v>904</v>
      </c>
      <c r="C106" t="str">
        <f t="shared" si="2"/>
        <v>YES</v>
      </c>
      <c r="D106" s="14" t="s">
        <v>657</v>
      </c>
      <c r="E106" s="14">
        <f t="shared" ca="1" si="3"/>
        <v>0.38822521043472891</v>
      </c>
    </row>
    <row r="107" spans="1:5" ht="16.95" hidden="1" customHeight="1">
      <c r="A107" s="15" t="s">
        <v>91</v>
      </c>
      <c r="B107" t="s">
        <v>905</v>
      </c>
      <c r="C107" t="str">
        <f t="shared" si="2"/>
        <v>YES</v>
      </c>
      <c r="D107" s="14" t="s">
        <v>92</v>
      </c>
      <c r="E107" s="14">
        <f t="shared" ca="1" si="3"/>
        <v>0.94397203146033681</v>
      </c>
    </row>
    <row r="108" spans="1:5" ht="16.95" hidden="1" customHeight="1">
      <c r="A108" s="15" t="s">
        <v>596</v>
      </c>
      <c r="B108" t="s">
        <v>906</v>
      </c>
      <c r="C108" t="str">
        <f t="shared" si="2"/>
        <v>YES</v>
      </c>
      <c r="D108" s="14" t="s">
        <v>597</v>
      </c>
      <c r="E108" s="14">
        <f t="shared" ca="1" si="3"/>
        <v>0.78886948808523971</v>
      </c>
    </row>
    <row r="109" spans="1:5" ht="16.95" hidden="1" customHeight="1">
      <c r="A109" s="15" t="s">
        <v>608</v>
      </c>
      <c r="B109" t="s">
        <v>908</v>
      </c>
      <c r="C109" t="str">
        <f t="shared" si="2"/>
        <v>YES</v>
      </c>
      <c r="D109" s="14" t="s">
        <v>88</v>
      </c>
      <c r="E109" s="14">
        <f t="shared" ca="1" si="3"/>
        <v>0.31209019238040103</v>
      </c>
    </row>
    <row r="110" spans="1:5" ht="16.95" hidden="1" customHeight="1">
      <c r="A110" s="15" t="s">
        <v>535</v>
      </c>
      <c r="B110" t="s">
        <v>855</v>
      </c>
      <c r="C110" t="str">
        <f t="shared" si="2"/>
        <v>YES</v>
      </c>
      <c r="D110" s="14" t="s">
        <v>155</v>
      </c>
      <c r="E110" s="14">
        <f t="shared" ca="1" si="3"/>
        <v>0.66666805046120692</v>
      </c>
    </row>
    <row r="111" spans="1:5" ht="16.95" hidden="1" customHeight="1">
      <c r="A111" s="15" t="s">
        <v>626</v>
      </c>
      <c r="B111" t="s">
        <v>907</v>
      </c>
      <c r="C111" t="str">
        <f t="shared" si="2"/>
        <v>YES</v>
      </c>
      <c r="D111" s="14" t="s">
        <v>103</v>
      </c>
      <c r="E111" s="14">
        <f t="shared" ca="1" si="3"/>
        <v>0.51126066026217654</v>
      </c>
    </row>
    <row r="112" spans="1:5" ht="16.95" customHeight="1">
      <c r="A112" s="15" t="s">
        <v>760</v>
      </c>
      <c r="B112" t="s">
        <v>530</v>
      </c>
      <c r="C112" t="str">
        <f t="shared" si="2"/>
        <v>NO</v>
      </c>
      <c r="D112" s="14" t="s">
        <v>761</v>
      </c>
      <c r="E112" s="14">
        <f t="shared" ca="1" si="3"/>
        <v>0.88048051962428309</v>
      </c>
    </row>
    <row r="113" spans="1:5" ht="16.95" hidden="1" customHeight="1">
      <c r="A113" s="15" t="s">
        <v>784</v>
      </c>
      <c r="B113" t="s">
        <v>465</v>
      </c>
      <c r="C113" t="str">
        <f t="shared" si="2"/>
        <v>YES</v>
      </c>
      <c r="D113" s="14" t="s">
        <v>50</v>
      </c>
      <c r="E113" s="14">
        <f t="shared" ca="1" si="3"/>
        <v>2.7941685939737115E-2</v>
      </c>
    </row>
    <row r="114" spans="1:5" ht="16.95" hidden="1" customHeight="1">
      <c r="A114" s="15" t="s">
        <v>672</v>
      </c>
      <c r="B114" t="s">
        <v>463</v>
      </c>
      <c r="C114" t="str">
        <f t="shared" si="2"/>
        <v>YES</v>
      </c>
      <c r="D114" s="14" t="s">
        <v>153</v>
      </c>
      <c r="E114" s="14">
        <f t="shared" ca="1" si="3"/>
        <v>2.2156295392509073E-2</v>
      </c>
    </row>
    <row r="115" spans="1:5" ht="16.95" hidden="1" customHeight="1">
      <c r="A115" s="15" t="s">
        <v>575</v>
      </c>
      <c r="B115" t="s">
        <v>526</v>
      </c>
      <c r="C115" t="str">
        <f t="shared" si="2"/>
        <v>YES</v>
      </c>
      <c r="D115" s="14" t="s">
        <v>47</v>
      </c>
      <c r="E115" s="14">
        <f t="shared" ca="1" si="3"/>
        <v>0.48729181435366242</v>
      </c>
    </row>
    <row r="116" spans="1:5" ht="16.95" customHeight="1">
      <c r="A116" s="15" t="s">
        <v>169</v>
      </c>
      <c r="B116" t="s">
        <v>530</v>
      </c>
      <c r="C116" t="str">
        <f t="shared" si="2"/>
        <v>NO</v>
      </c>
      <c r="D116" s="14" t="s">
        <v>170</v>
      </c>
      <c r="E116" s="14">
        <f t="shared" ca="1" si="3"/>
        <v>0.78030345107741339</v>
      </c>
    </row>
    <row r="117" spans="1:5" ht="16.95" hidden="1" customHeight="1">
      <c r="A117" s="15" t="s">
        <v>76</v>
      </c>
      <c r="B117" t="s">
        <v>909</v>
      </c>
      <c r="C117" t="str">
        <f t="shared" si="2"/>
        <v>YES</v>
      </c>
      <c r="D117" s="14" t="s">
        <v>594</v>
      </c>
      <c r="E117" s="14">
        <f t="shared" ca="1" si="3"/>
        <v>3.5375795509682395E-2</v>
      </c>
    </row>
    <row r="118" spans="1:5" ht="16.95" hidden="1" customHeight="1">
      <c r="A118" s="15" t="s">
        <v>735</v>
      </c>
      <c r="B118" t="s">
        <v>391</v>
      </c>
      <c r="C118" t="str">
        <f t="shared" si="2"/>
        <v>YES</v>
      </c>
      <c r="D118" s="14" t="s">
        <v>111</v>
      </c>
      <c r="E118" s="14">
        <f t="shared" ca="1" si="3"/>
        <v>0.84911066447812744</v>
      </c>
    </row>
    <row r="119" spans="1:5" ht="16.95" hidden="1" customHeight="1">
      <c r="A119" s="15" t="s">
        <v>541</v>
      </c>
      <c r="B119" t="s">
        <v>847</v>
      </c>
      <c r="C119" t="str">
        <f t="shared" si="2"/>
        <v>YES</v>
      </c>
      <c r="D119" s="14" t="s">
        <v>4</v>
      </c>
      <c r="E119" s="14">
        <f t="shared" ca="1" si="3"/>
        <v>0.29305982294533905</v>
      </c>
    </row>
    <row r="120" spans="1:5" ht="16.95" customHeight="1">
      <c r="A120" s="15" t="s">
        <v>663</v>
      </c>
      <c r="B120" t="s">
        <v>530</v>
      </c>
      <c r="C120" t="str">
        <f t="shared" si="2"/>
        <v>NO</v>
      </c>
      <c r="D120" s="14" t="s">
        <v>664</v>
      </c>
      <c r="E120" s="14">
        <f t="shared" ca="1" si="3"/>
        <v>0.33389873321882346</v>
      </c>
    </row>
    <row r="121" spans="1:5" ht="16.95" hidden="1" customHeight="1">
      <c r="A121" s="15" t="s">
        <v>646</v>
      </c>
      <c r="B121" t="s">
        <v>910</v>
      </c>
      <c r="C121" t="str">
        <f t="shared" si="2"/>
        <v>YES</v>
      </c>
      <c r="D121" s="14" t="s">
        <v>121</v>
      </c>
      <c r="E121" s="14">
        <f t="shared" ca="1" si="3"/>
        <v>2.9320071804791348E-2</v>
      </c>
    </row>
    <row r="122" spans="1:5" ht="16.95" hidden="1" customHeight="1">
      <c r="A122" s="15" t="s">
        <v>759</v>
      </c>
      <c r="B122" t="s">
        <v>911</v>
      </c>
      <c r="C122" t="str">
        <f t="shared" si="2"/>
        <v>YES</v>
      </c>
      <c r="D122" s="14" t="s">
        <v>615</v>
      </c>
      <c r="E122" s="14">
        <f t="shared" ca="1" si="3"/>
        <v>0.33380515348251127</v>
      </c>
    </row>
    <row r="123" spans="1:5" ht="16.95" hidden="1" customHeight="1">
      <c r="A123" s="15" t="s">
        <v>100</v>
      </c>
      <c r="B123" t="s">
        <v>913</v>
      </c>
      <c r="C123" t="str">
        <f t="shared" si="2"/>
        <v>YES</v>
      </c>
      <c r="D123" s="14" t="s">
        <v>101</v>
      </c>
      <c r="E123" s="14">
        <f t="shared" ca="1" si="3"/>
        <v>0.72341089901684452</v>
      </c>
    </row>
    <row r="124" spans="1:5" ht="16.95" customHeight="1">
      <c r="A124" s="15" t="s">
        <v>559</v>
      </c>
      <c r="B124" t="s">
        <v>530</v>
      </c>
      <c r="C124" t="str">
        <f t="shared" si="2"/>
        <v>NO</v>
      </c>
      <c r="D124" s="14" t="s">
        <v>26</v>
      </c>
      <c r="E124" s="14">
        <f t="shared" ca="1" si="3"/>
        <v>0.37191158611731068</v>
      </c>
    </row>
    <row r="125" spans="1:5" ht="16.95" hidden="1" customHeight="1">
      <c r="A125" s="15" t="s">
        <v>584</v>
      </c>
      <c r="B125" t="s">
        <v>912</v>
      </c>
      <c r="C125" t="str">
        <f t="shared" si="2"/>
        <v>YES</v>
      </c>
      <c r="D125" s="14" t="s">
        <v>60</v>
      </c>
      <c r="E125" s="14">
        <f t="shared" ca="1" si="3"/>
        <v>0.30919235231638442</v>
      </c>
    </row>
    <row r="126" spans="1:5" ht="16.95" customHeight="1">
      <c r="A126" s="15" t="s">
        <v>43</v>
      </c>
      <c r="B126" t="s">
        <v>530</v>
      </c>
      <c r="C126" t="str">
        <f t="shared" si="2"/>
        <v>NO</v>
      </c>
      <c r="D126" s="14" t="s">
        <v>573</v>
      </c>
      <c r="E126" s="14">
        <f t="shared" ca="1" si="3"/>
        <v>0.50107213879047108</v>
      </c>
    </row>
    <row r="127" spans="1:5" ht="16.95" customHeight="1">
      <c r="A127" s="15" t="s">
        <v>755</v>
      </c>
      <c r="B127" t="s">
        <v>530</v>
      </c>
      <c r="C127" t="str">
        <f t="shared" si="2"/>
        <v>NO</v>
      </c>
      <c r="D127" s="14" t="s">
        <v>756</v>
      </c>
      <c r="E127" s="14">
        <f t="shared" ca="1" si="3"/>
        <v>0.35495055375353468</v>
      </c>
    </row>
    <row r="128" spans="1:5" ht="16.95" hidden="1" customHeight="1">
      <c r="A128" s="15" t="s">
        <v>627</v>
      </c>
      <c r="B128" t="s">
        <v>915</v>
      </c>
      <c r="C128" t="str">
        <f t="shared" si="2"/>
        <v>YES</v>
      </c>
      <c r="D128" s="14" t="s">
        <v>104</v>
      </c>
      <c r="E128" s="14">
        <f t="shared" ca="1" si="3"/>
        <v>0.52989835538999408</v>
      </c>
    </row>
    <row r="129" spans="1:5" ht="16.95" hidden="1" customHeight="1">
      <c r="A129" s="15" t="s">
        <v>591</v>
      </c>
      <c r="B129" t="s">
        <v>914</v>
      </c>
      <c r="C129" t="str">
        <f t="shared" si="2"/>
        <v>YES</v>
      </c>
      <c r="D129" s="14" t="s">
        <v>72</v>
      </c>
      <c r="E129" s="14">
        <f t="shared" ca="1" si="3"/>
        <v>0.82127869256624708</v>
      </c>
    </row>
    <row r="130" spans="1:5" ht="16.95" hidden="1" customHeight="1">
      <c r="A130" s="15" t="s">
        <v>362</v>
      </c>
      <c r="B130" t="s">
        <v>363</v>
      </c>
      <c r="C130" t="str">
        <f t="shared" ref="C130:C193" si="4">IF(ISNUMBER(SEARCH(B130,D130)),"YES","NO")</f>
        <v>YES</v>
      </c>
      <c r="D130" s="14" t="s">
        <v>108</v>
      </c>
      <c r="E130" s="14">
        <f t="shared" ref="E130:E193" ca="1" si="5">RAND()</f>
        <v>0.31580949221427124</v>
      </c>
    </row>
    <row r="131" spans="1:5" ht="16.95" hidden="1" customHeight="1">
      <c r="A131" s="15" t="s">
        <v>808</v>
      </c>
      <c r="B131" t="s">
        <v>508</v>
      </c>
      <c r="C131" t="str">
        <f t="shared" si="4"/>
        <v>YES</v>
      </c>
      <c r="D131" s="14" t="s">
        <v>80</v>
      </c>
      <c r="E131" s="14">
        <f t="shared" ca="1" si="5"/>
        <v>0.61201259765868687</v>
      </c>
    </row>
    <row r="132" spans="1:5" ht="16.95" customHeight="1">
      <c r="A132" s="15" t="s">
        <v>673</v>
      </c>
      <c r="B132" t="s">
        <v>530</v>
      </c>
      <c r="C132" t="str">
        <f t="shared" si="4"/>
        <v>NO</v>
      </c>
      <c r="D132" s="14" t="s">
        <v>674</v>
      </c>
      <c r="E132" s="14">
        <f t="shared" ca="1" si="5"/>
        <v>0.22242945086187083</v>
      </c>
    </row>
    <row r="133" spans="1:5" ht="16.95" customHeight="1">
      <c r="A133" s="15" t="s">
        <v>670</v>
      </c>
      <c r="B133" t="s">
        <v>530</v>
      </c>
      <c r="C133" t="str">
        <f t="shared" si="4"/>
        <v>NO</v>
      </c>
      <c r="D133" s="14" t="s">
        <v>671</v>
      </c>
      <c r="E133" s="14">
        <f t="shared" ca="1" si="5"/>
        <v>0.79988428551130464</v>
      </c>
    </row>
    <row r="134" spans="1:5" ht="16.95" customHeight="1">
      <c r="A134" s="15" t="s">
        <v>791</v>
      </c>
      <c r="B134" t="s">
        <v>530</v>
      </c>
      <c r="C134" t="str">
        <f t="shared" si="4"/>
        <v>NO</v>
      </c>
      <c r="D134" s="14" t="s">
        <v>792</v>
      </c>
      <c r="E134" s="14">
        <f t="shared" ca="1" si="5"/>
        <v>0.24617797891465709</v>
      </c>
    </row>
    <row r="135" spans="1:5" ht="16.95" hidden="1" customHeight="1">
      <c r="A135" s="15" t="s">
        <v>603</v>
      </c>
      <c r="B135" t="s">
        <v>916</v>
      </c>
      <c r="C135" t="str">
        <f t="shared" si="4"/>
        <v>YES</v>
      </c>
      <c r="D135" s="14" t="s">
        <v>604</v>
      </c>
      <c r="E135" s="14">
        <f t="shared" ca="1" si="5"/>
        <v>0.47053744307922718</v>
      </c>
    </row>
    <row r="136" spans="1:5" ht="16.95" customHeight="1">
      <c r="A136" s="15" t="s">
        <v>719</v>
      </c>
      <c r="B136" t="s">
        <v>114</v>
      </c>
      <c r="C136" t="str">
        <f t="shared" si="4"/>
        <v>NO</v>
      </c>
      <c r="D136" s="14" t="s">
        <v>720</v>
      </c>
      <c r="E136" s="14">
        <f t="shared" ca="1" si="5"/>
        <v>0.53880328191773419</v>
      </c>
    </row>
    <row r="137" spans="1:5" ht="16.95" hidden="1" customHeight="1">
      <c r="A137" s="15" t="s">
        <v>828</v>
      </c>
      <c r="B137" t="s">
        <v>522</v>
      </c>
      <c r="C137" t="str">
        <f t="shared" si="4"/>
        <v>YES</v>
      </c>
      <c r="D137" s="14" t="s">
        <v>829</v>
      </c>
      <c r="E137" s="14">
        <f t="shared" ca="1" si="5"/>
        <v>0.72074095183914488</v>
      </c>
    </row>
    <row r="138" spans="1:5" ht="16.95" hidden="1" customHeight="1">
      <c r="A138" s="15" t="s">
        <v>592</v>
      </c>
      <c r="B138" t="s">
        <v>917</v>
      </c>
      <c r="C138" t="str">
        <f t="shared" si="4"/>
        <v>YES</v>
      </c>
      <c r="D138" s="14" t="s">
        <v>73</v>
      </c>
      <c r="E138" s="14">
        <f t="shared" ca="1" si="5"/>
        <v>0.69003293901024521</v>
      </c>
    </row>
    <row r="139" spans="1:5" ht="16.95" hidden="1" customHeight="1">
      <c r="A139" s="15" t="s">
        <v>89</v>
      </c>
      <c r="B139" t="s">
        <v>918</v>
      </c>
      <c r="C139" t="str">
        <f t="shared" si="4"/>
        <v>YES</v>
      </c>
      <c r="D139" s="14" t="s">
        <v>90</v>
      </c>
      <c r="E139" s="14">
        <f t="shared" ca="1" si="5"/>
        <v>0.81506129166081032</v>
      </c>
    </row>
    <row r="140" spans="1:5" ht="16.95" hidden="1" customHeight="1">
      <c r="A140" s="15" t="s">
        <v>30</v>
      </c>
      <c r="B140" t="s">
        <v>895</v>
      </c>
      <c r="C140" t="str">
        <f t="shared" si="4"/>
        <v>YES</v>
      </c>
      <c r="D140" s="14" t="s">
        <v>568</v>
      </c>
      <c r="E140" s="14">
        <f t="shared" ca="1" si="5"/>
        <v>0.65716758783441576</v>
      </c>
    </row>
    <row r="141" spans="1:5" ht="16.95" customHeight="1">
      <c r="A141" s="15" t="s">
        <v>551</v>
      </c>
      <c r="B141" t="s">
        <v>530</v>
      </c>
      <c r="C141" t="str">
        <f t="shared" si="4"/>
        <v>NO</v>
      </c>
      <c r="D141" s="14" t="s">
        <v>21</v>
      </c>
      <c r="E141" s="14">
        <f t="shared" ca="1" si="5"/>
        <v>0.77363605654839562</v>
      </c>
    </row>
    <row r="142" spans="1:5" ht="16.95" customHeight="1">
      <c r="A142" s="15" t="s">
        <v>14</v>
      </c>
      <c r="B142" t="s">
        <v>530</v>
      </c>
      <c r="C142" t="str">
        <f t="shared" si="4"/>
        <v>NO</v>
      </c>
      <c r="D142" s="14" t="s">
        <v>23</v>
      </c>
      <c r="E142" s="14">
        <f t="shared" ca="1" si="5"/>
        <v>0.31991428428880109</v>
      </c>
    </row>
    <row r="143" spans="1:5" ht="16.95" customHeight="1">
      <c r="A143" s="15" t="s">
        <v>729</v>
      </c>
      <c r="B143" t="s">
        <v>530</v>
      </c>
      <c r="C143" t="str">
        <f t="shared" si="4"/>
        <v>NO</v>
      </c>
      <c r="D143" s="14" t="s">
        <v>22</v>
      </c>
      <c r="E143" s="14">
        <f t="shared" ca="1" si="5"/>
        <v>0.16950255402533199</v>
      </c>
    </row>
    <row r="144" spans="1:5" ht="16.95" customHeight="1">
      <c r="A144" s="15" t="s">
        <v>651</v>
      </c>
      <c r="B144" t="s">
        <v>530</v>
      </c>
      <c r="C144" t="str">
        <f t="shared" si="4"/>
        <v>NO</v>
      </c>
      <c r="D144" s="14" t="s">
        <v>148</v>
      </c>
      <c r="E144" s="14">
        <f t="shared" ca="1" si="5"/>
        <v>0.65357840013688218</v>
      </c>
    </row>
    <row r="145" spans="1:5" ht="16.95" customHeight="1">
      <c r="A145" s="15" t="s">
        <v>142</v>
      </c>
      <c r="B145" t="s">
        <v>530</v>
      </c>
      <c r="C145" t="str">
        <f t="shared" si="4"/>
        <v>NO</v>
      </c>
      <c r="D145" s="14" t="s">
        <v>143</v>
      </c>
      <c r="E145" s="14">
        <f t="shared" ca="1" si="5"/>
        <v>6.4254274048109128E-2</v>
      </c>
    </row>
    <row r="146" spans="1:5" ht="16.95" hidden="1" customHeight="1">
      <c r="A146" s="15" t="s">
        <v>762</v>
      </c>
      <c r="B146" t="s">
        <v>921</v>
      </c>
      <c r="C146" t="str">
        <f t="shared" si="4"/>
        <v>YES</v>
      </c>
      <c r="D146" s="14" t="s">
        <v>763</v>
      </c>
      <c r="E146" s="14">
        <f t="shared" ca="1" si="5"/>
        <v>0.13366367144011337</v>
      </c>
    </row>
    <row r="147" spans="1:5" ht="16.95" hidden="1" customHeight="1">
      <c r="A147" s="15" t="s">
        <v>740</v>
      </c>
      <c r="B147" t="s">
        <v>399</v>
      </c>
      <c r="C147" t="str">
        <f t="shared" si="4"/>
        <v>YES</v>
      </c>
      <c r="D147" s="14" t="s">
        <v>94</v>
      </c>
      <c r="E147" s="14">
        <f t="shared" ca="1" si="5"/>
        <v>0.72143481196499792</v>
      </c>
    </row>
    <row r="148" spans="1:5" ht="16.95" hidden="1" customHeight="1">
      <c r="A148" s="15" t="s">
        <v>685</v>
      </c>
      <c r="B148" t="s">
        <v>922</v>
      </c>
      <c r="C148" t="str">
        <f t="shared" si="4"/>
        <v>YES</v>
      </c>
      <c r="D148" s="14" t="s">
        <v>686</v>
      </c>
      <c r="E148" s="14">
        <f t="shared" ca="1" si="5"/>
        <v>0.79287554536343885</v>
      </c>
    </row>
    <row r="149" spans="1:5" ht="16.95" customHeight="1">
      <c r="A149" s="15" t="s">
        <v>658</v>
      </c>
      <c r="B149" t="s">
        <v>530</v>
      </c>
      <c r="C149" t="str">
        <f t="shared" si="4"/>
        <v>NO</v>
      </c>
      <c r="D149" s="14" t="s">
        <v>151</v>
      </c>
      <c r="E149" s="14">
        <f t="shared" ca="1" si="5"/>
        <v>0.62381996214884483</v>
      </c>
    </row>
    <row r="150" spans="1:5" ht="16.95" customHeight="1">
      <c r="A150" s="15" t="s">
        <v>137</v>
      </c>
      <c r="B150" t="s">
        <v>530</v>
      </c>
      <c r="C150" t="str">
        <f t="shared" si="4"/>
        <v>NO</v>
      </c>
      <c r="D150" s="14" t="s">
        <v>138</v>
      </c>
      <c r="E150" s="14">
        <f t="shared" ca="1" si="5"/>
        <v>0.4697992470575223</v>
      </c>
    </row>
    <row r="151" spans="1:5" ht="16.95" hidden="1" customHeight="1">
      <c r="A151" s="15" t="s">
        <v>648</v>
      </c>
      <c r="B151" t="s">
        <v>853</v>
      </c>
      <c r="C151" t="str">
        <f t="shared" si="4"/>
        <v>YES</v>
      </c>
      <c r="D151" s="14" t="s">
        <v>139</v>
      </c>
      <c r="E151" s="14">
        <f t="shared" ca="1" si="5"/>
        <v>0.1913885045509055</v>
      </c>
    </row>
    <row r="152" spans="1:5" ht="16.95" hidden="1" customHeight="1">
      <c r="A152" s="15" t="s">
        <v>668</v>
      </c>
      <c r="B152" t="s">
        <v>924</v>
      </c>
      <c r="C152" t="str">
        <f t="shared" si="4"/>
        <v>YES</v>
      </c>
      <c r="D152" s="14" t="s">
        <v>669</v>
      </c>
      <c r="E152" s="14">
        <f t="shared" ca="1" si="5"/>
        <v>0.34232399510561795</v>
      </c>
    </row>
    <row r="153" spans="1:5" ht="16.95" customHeight="1">
      <c r="A153" s="15" t="s">
        <v>726</v>
      </c>
      <c r="B153" t="s">
        <v>530</v>
      </c>
      <c r="C153" t="str">
        <f t="shared" si="4"/>
        <v>NO</v>
      </c>
      <c r="D153" s="14" t="s">
        <v>727</v>
      </c>
      <c r="E153" s="14">
        <f t="shared" ca="1" si="5"/>
        <v>1.7293708314047529E-2</v>
      </c>
    </row>
    <row r="154" spans="1:5" ht="16.95" hidden="1" customHeight="1">
      <c r="A154" s="15" t="s">
        <v>52</v>
      </c>
      <c r="B154" t="s">
        <v>334</v>
      </c>
      <c r="C154" t="str">
        <f t="shared" si="4"/>
        <v>YES</v>
      </c>
      <c r="D154" s="14" t="s">
        <v>582</v>
      </c>
      <c r="E154" s="14">
        <f t="shared" ca="1" si="5"/>
        <v>0.53764103730178758</v>
      </c>
    </row>
    <row r="155" spans="1:5" ht="16.95" hidden="1" customHeight="1">
      <c r="A155" s="15" t="s">
        <v>688</v>
      </c>
      <c r="B155" t="s">
        <v>925</v>
      </c>
      <c r="C155" t="str">
        <f t="shared" si="4"/>
        <v>YES</v>
      </c>
      <c r="D155" s="14" t="s">
        <v>689</v>
      </c>
      <c r="E155" s="14">
        <f t="shared" ca="1" si="5"/>
        <v>0.94482628661395074</v>
      </c>
    </row>
    <row r="156" spans="1:5" ht="16.95" hidden="1" customHeight="1">
      <c r="A156" s="15" t="s">
        <v>56</v>
      </c>
      <c r="B156" t="s">
        <v>926</v>
      </c>
      <c r="C156" t="str">
        <f t="shared" si="4"/>
        <v>YES</v>
      </c>
      <c r="D156" s="14" t="s">
        <v>57</v>
      </c>
      <c r="E156" s="14">
        <f t="shared" ca="1" si="5"/>
        <v>0.90190582155780952</v>
      </c>
    </row>
    <row r="157" spans="1:5" ht="16.95" hidden="1" customHeight="1">
      <c r="A157" s="15" t="s">
        <v>797</v>
      </c>
      <c r="B157" t="s">
        <v>857</v>
      </c>
      <c r="C157" t="str">
        <f t="shared" si="4"/>
        <v>YES</v>
      </c>
      <c r="D157" s="14" t="s">
        <v>545</v>
      </c>
      <c r="E157" s="14">
        <f t="shared" ca="1" si="5"/>
        <v>0.89605726586884549</v>
      </c>
    </row>
    <row r="158" spans="1:5" ht="16.95" hidden="1" customHeight="1">
      <c r="A158" s="15" t="s">
        <v>589</v>
      </c>
      <c r="B158" t="s">
        <v>927</v>
      </c>
      <c r="C158" t="str">
        <f t="shared" si="4"/>
        <v>YES</v>
      </c>
      <c r="D158" s="14" t="s">
        <v>70</v>
      </c>
      <c r="E158" s="14">
        <f t="shared" ca="1" si="5"/>
        <v>0.55790953042554214</v>
      </c>
    </row>
    <row r="159" spans="1:5" ht="16.95" hidden="1" customHeight="1">
      <c r="A159" s="15" t="s">
        <v>64</v>
      </c>
      <c r="B159" t="s">
        <v>928</v>
      </c>
      <c r="C159" t="str">
        <f t="shared" si="4"/>
        <v>YES</v>
      </c>
      <c r="D159" s="14" t="s">
        <v>65</v>
      </c>
      <c r="E159" s="14">
        <f t="shared" ca="1" si="5"/>
        <v>0.46788145602179587</v>
      </c>
    </row>
    <row r="160" spans="1:5" ht="16.95" hidden="1" customHeight="1">
      <c r="A160" s="15" t="s">
        <v>547</v>
      </c>
      <c r="B160" t="s">
        <v>858</v>
      </c>
      <c r="C160" t="str">
        <f t="shared" si="4"/>
        <v>YES</v>
      </c>
      <c r="D160" s="14" t="s">
        <v>548</v>
      </c>
      <c r="E160" s="14">
        <f t="shared" ca="1" si="5"/>
        <v>1.7846318045949161E-2</v>
      </c>
    </row>
    <row r="161" spans="1:5" ht="16.95" customHeight="1">
      <c r="A161" s="15" t="s">
        <v>723</v>
      </c>
      <c r="B161" t="s">
        <v>530</v>
      </c>
      <c r="C161" t="str">
        <f t="shared" si="4"/>
        <v>NO</v>
      </c>
      <c r="D161" s="14" t="s">
        <v>109</v>
      </c>
      <c r="E161" s="14">
        <f t="shared" ca="1" si="5"/>
        <v>0.54947844533043566</v>
      </c>
    </row>
    <row r="162" spans="1:5" ht="16.95" hidden="1" customHeight="1">
      <c r="A162" s="15" t="s">
        <v>744</v>
      </c>
      <c r="B162" t="s">
        <v>907</v>
      </c>
      <c r="C162" t="str">
        <f t="shared" si="4"/>
        <v>YES</v>
      </c>
      <c r="D162" s="14" t="s">
        <v>103</v>
      </c>
      <c r="E162" s="14">
        <f t="shared" ca="1" si="5"/>
        <v>4.0886982439661601E-2</v>
      </c>
    </row>
    <row r="163" spans="1:5" ht="16.95" customHeight="1">
      <c r="A163" s="15" t="s">
        <v>166</v>
      </c>
      <c r="B163" t="s">
        <v>530</v>
      </c>
      <c r="C163" t="str">
        <f t="shared" si="4"/>
        <v>NO</v>
      </c>
      <c r="D163" s="14" t="s">
        <v>697</v>
      </c>
      <c r="E163" s="14">
        <f t="shared" ca="1" si="5"/>
        <v>0.894356475280499</v>
      </c>
    </row>
    <row r="164" spans="1:5" ht="16.95" hidden="1" customHeight="1">
      <c r="A164" s="15" t="s">
        <v>773</v>
      </c>
      <c r="B164" t="s">
        <v>901</v>
      </c>
      <c r="C164" t="str">
        <f t="shared" si="4"/>
        <v>YES</v>
      </c>
      <c r="D164" s="14" t="s">
        <v>554</v>
      </c>
      <c r="E164" s="14">
        <f t="shared" ca="1" si="5"/>
        <v>0.23574000317866561</v>
      </c>
    </row>
    <row r="165" spans="1:5" ht="16.95" customHeight="1">
      <c r="A165" s="15" t="s">
        <v>12</v>
      </c>
      <c r="B165" t="s">
        <v>530</v>
      </c>
      <c r="C165" t="str">
        <f t="shared" si="4"/>
        <v>NO</v>
      </c>
      <c r="D165" s="14" t="s">
        <v>552</v>
      </c>
      <c r="E165" s="14">
        <f t="shared" ca="1" si="5"/>
        <v>0.34266108269122864</v>
      </c>
    </row>
    <row r="166" spans="1:5" ht="16.95" hidden="1" customHeight="1">
      <c r="A166" s="15" t="s">
        <v>824</v>
      </c>
      <c r="B166" t="s">
        <v>519</v>
      </c>
      <c r="C166" t="str">
        <f t="shared" si="4"/>
        <v>YES</v>
      </c>
      <c r="D166" s="14" t="s">
        <v>825</v>
      </c>
      <c r="E166" s="14">
        <f t="shared" ca="1" si="5"/>
        <v>0.73407309571920953</v>
      </c>
    </row>
    <row r="167" spans="1:5" ht="16.95" customHeight="1">
      <c r="A167" s="15" t="s">
        <v>751</v>
      </c>
      <c r="B167" t="s">
        <v>530</v>
      </c>
      <c r="C167" t="str">
        <f t="shared" si="4"/>
        <v>NO</v>
      </c>
      <c r="D167" s="14" t="s">
        <v>752</v>
      </c>
      <c r="E167" s="14">
        <f t="shared" ca="1" si="5"/>
        <v>0.21912300444186239</v>
      </c>
    </row>
    <row r="168" spans="1:5" ht="16.95" hidden="1" customHeight="1">
      <c r="A168" s="15" t="s">
        <v>628</v>
      </c>
      <c r="B168" t="s">
        <v>929</v>
      </c>
      <c r="C168" t="str">
        <f t="shared" si="4"/>
        <v>YES</v>
      </c>
      <c r="D168" s="14" t="s">
        <v>105</v>
      </c>
      <c r="E168" s="14">
        <f t="shared" ca="1" si="5"/>
        <v>0.18473330911563779</v>
      </c>
    </row>
    <row r="169" spans="1:5" ht="16.95" hidden="1" customHeight="1">
      <c r="A169" s="15" t="s">
        <v>128</v>
      </c>
      <c r="B169" t="s">
        <v>931</v>
      </c>
      <c r="C169" t="str">
        <f t="shared" si="4"/>
        <v>YES</v>
      </c>
      <c r="D169" s="14" t="s">
        <v>129</v>
      </c>
      <c r="E169" s="14">
        <f t="shared" ca="1" si="5"/>
        <v>0.1061702504812585</v>
      </c>
    </row>
    <row r="170" spans="1:5" ht="16.95" customHeight="1">
      <c r="A170" s="15" t="s">
        <v>571</v>
      </c>
      <c r="B170" t="s">
        <v>530</v>
      </c>
      <c r="C170" t="str">
        <f t="shared" si="4"/>
        <v>NO</v>
      </c>
      <c r="D170" s="14" t="s">
        <v>41</v>
      </c>
      <c r="E170" s="14">
        <f t="shared" ca="1" si="5"/>
        <v>0.89453378878100109</v>
      </c>
    </row>
    <row r="171" spans="1:5" ht="16.95" hidden="1" customHeight="1">
      <c r="A171" s="15" t="s">
        <v>745</v>
      </c>
      <c r="B171" t="s">
        <v>897</v>
      </c>
      <c r="C171" t="str">
        <f t="shared" si="4"/>
        <v>YES</v>
      </c>
      <c r="D171" s="14" t="s">
        <v>746</v>
      </c>
      <c r="E171" s="14">
        <f t="shared" ca="1" si="5"/>
        <v>0.53162806380619854</v>
      </c>
    </row>
    <row r="172" spans="1:5" ht="16.95" hidden="1" customHeight="1">
      <c r="A172" s="15" t="s">
        <v>617</v>
      </c>
      <c r="B172" t="s">
        <v>932</v>
      </c>
      <c r="C172" t="str">
        <f t="shared" si="4"/>
        <v>YES</v>
      </c>
      <c r="D172" s="14" t="s">
        <v>618</v>
      </c>
      <c r="E172" s="14">
        <f t="shared" ca="1" si="5"/>
        <v>0.58490579648546603</v>
      </c>
    </row>
    <row r="173" spans="1:5" ht="16.95" customHeight="1">
      <c r="A173" s="15" t="s">
        <v>531</v>
      </c>
      <c r="B173" t="s">
        <v>530</v>
      </c>
      <c r="C173" t="str">
        <f t="shared" si="4"/>
        <v>NO</v>
      </c>
      <c r="D173" s="14" t="s">
        <v>593</v>
      </c>
      <c r="E173" s="14">
        <f t="shared" ca="1" si="5"/>
        <v>0.9913217208160261</v>
      </c>
    </row>
    <row r="174" spans="1:5" ht="16.95" hidden="1" customHeight="1">
      <c r="A174" s="15" t="s">
        <v>704</v>
      </c>
      <c r="B174" t="s">
        <v>882</v>
      </c>
      <c r="C174" t="str">
        <f t="shared" si="4"/>
        <v>YES</v>
      </c>
      <c r="D174" s="14" t="s">
        <v>705</v>
      </c>
      <c r="E174" s="14">
        <f t="shared" ca="1" si="5"/>
        <v>0.12696667994786848</v>
      </c>
    </row>
    <row r="175" spans="1:5" ht="16.95" customHeight="1">
      <c r="A175" s="15" t="s">
        <v>647</v>
      </c>
      <c r="B175" t="s">
        <v>530</v>
      </c>
      <c r="C175" t="str">
        <f t="shared" si="4"/>
        <v>NO</v>
      </c>
      <c r="D175" s="14" t="s">
        <v>136</v>
      </c>
      <c r="E175" s="14">
        <f t="shared" ca="1" si="5"/>
        <v>4.9311269481080222E-2</v>
      </c>
    </row>
    <row r="176" spans="1:5" ht="16.95" customHeight="1">
      <c r="A176" s="15" t="s">
        <v>609</v>
      </c>
      <c r="B176" t="s">
        <v>530</v>
      </c>
      <c r="C176" t="str">
        <f t="shared" si="4"/>
        <v>NO</v>
      </c>
      <c r="D176" s="14" t="s">
        <v>610</v>
      </c>
      <c r="E176" s="14">
        <f t="shared" ca="1" si="5"/>
        <v>0.85941051234217514</v>
      </c>
    </row>
    <row r="177" spans="1:5" ht="16.95" hidden="1" customHeight="1">
      <c r="A177" s="15" t="s">
        <v>826</v>
      </c>
      <c r="B177" t="s">
        <v>520</v>
      </c>
      <c r="C177" t="str">
        <f t="shared" si="4"/>
        <v>YES</v>
      </c>
      <c r="D177" s="14" t="s">
        <v>827</v>
      </c>
      <c r="E177" s="14">
        <f t="shared" ca="1" si="5"/>
        <v>0.82069409999412335</v>
      </c>
    </row>
    <row r="178" spans="1:5" ht="16.95" hidden="1" customHeight="1">
      <c r="A178" s="15" t="s">
        <v>5</v>
      </c>
      <c r="B178" t="s">
        <v>848</v>
      </c>
      <c r="C178" t="str">
        <f t="shared" si="4"/>
        <v>YES</v>
      </c>
      <c r="D178" s="14" t="s">
        <v>6</v>
      </c>
      <c r="E178" s="14">
        <f t="shared" ca="1" si="5"/>
        <v>0.92841175018520905</v>
      </c>
    </row>
    <row r="179" spans="1:5" ht="16.95" customHeight="1">
      <c r="A179" s="15" t="s">
        <v>832</v>
      </c>
      <c r="B179" t="s">
        <v>530</v>
      </c>
      <c r="C179" t="str">
        <f t="shared" si="4"/>
        <v>NO</v>
      </c>
      <c r="D179" s="14" t="s">
        <v>833</v>
      </c>
      <c r="E179" s="14">
        <f t="shared" ca="1" si="5"/>
        <v>0.72738938533242381</v>
      </c>
    </row>
    <row r="180" spans="1:5" ht="16.95" customHeight="1">
      <c r="A180" s="15" t="s">
        <v>706</v>
      </c>
      <c r="B180" t="s">
        <v>530</v>
      </c>
      <c r="C180" t="str">
        <f t="shared" si="4"/>
        <v>NO</v>
      </c>
      <c r="D180" s="14" t="s">
        <v>707</v>
      </c>
      <c r="E180" s="14">
        <f t="shared" ca="1" si="5"/>
        <v>0.80122806313338124</v>
      </c>
    </row>
    <row r="181" spans="1:5" ht="16.95" hidden="1" customHeight="1">
      <c r="A181" s="15" t="s">
        <v>750</v>
      </c>
      <c r="B181" t="s">
        <v>901</v>
      </c>
      <c r="C181" t="str">
        <f t="shared" si="4"/>
        <v>YES</v>
      </c>
      <c r="D181" s="14" t="s">
        <v>554</v>
      </c>
      <c r="E181" s="14">
        <f t="shared" ca="1" si="5"/>
        <v>0.86978072921542016</v>
      </c>
    </row>
    <row r="182" spans="1:5" ht="16.95" hidden="1" customHeight="1">
      <c r="A182" s="15" t="s">
        <v>677</v>
      </c>
      <c r="B182" t="s">
        <v>933</v>
      </c>
      <c r="C182" t="str">
        <f t="shared" si="4"/>
        <v>YES</v>
      </c>
      <c r="D182" s="14" t="s">
        <v>157</v>
      </c>
      <c r="E182" s="14">
        <f t="shared" ca="1" si="5"/>
        <v>0.78865240504432199</v>
      </c>
    </row>
    <row r="183" spans="1:5" ht="16.95" hidden="1" customHeight="1">
      <c r="A183" s="15" t="s">
        <v>814</v>
      </c>
      <c r="B183" t="s">
        <v>512</v>
      </c>
      <c r="C183" t="str">
        <f t="shared" si="4"/>
        <v>YES</v>
      </c>
      <c r="D183" s="14" t="s">
        <v>815</v>
      </c>
      <c r="E183" s="14">
        <f t="shared" ca="1" si="5"/>
        <v>0.8452962064278523</v>
      </c>
    </row>
    <row r="184" spans="1:5" ht="16.95" hidden="1" customHeight="1">
      <c r="A184" s="15" t="s">
        <v>366</v>
      </c>
      <c r="B184" t="s">
        <v>936</v>
      </c>
      <c r="C184" t="str">
        <f t="shared" si="4"/>
        <v>YES</v>
      </c>
      <c r="D184" s="14" t="s">
        <v>716</v>
      </c>
      <c r="E184" s="14">
        <f t="shared" ca="1" si="5"/>
        <v>0.42764515823600924</v>
      </c>
    </row>
    <row r="185" spans="1:5" ht="16.95" hidden="1" customHeight="1">
      <c r="A185" s="15" t="s">
        <v>717</v>
      </c>
      <c r="B185" t="s">
        <v>934</v>
      </c>
      <c r="C185" t="str">
        <f t="shared" si="4"/>
        <v>YES</v>
      </c>
      <c r="D185" s="14" t="s">
        <v>718</v>
      </c>
      <c r="E185" s="14">
        <f t="shared" ca="1" si="5"/>
        <v>0.40225786712011258</v>
      </c>
    </row>
    <row r="186" spans="1:5" ht="16.95" hidden="1" customHeight="1">
      <c r="A186" s="15" t="s">
        <v>16</v>
      </c>
      <c r="B186" t="s">
        <v>938</v>
      </c>
      <c r="C186" t="str">
        <f t="shared" si="4"/>
        <v>YES</v>
      </c>
      <c r="D186" s="14" t="s">
        <v>24</v>
      </c>
      <c r="E186" s="14">
        <f t="shared" ca="1" si="5"/>
        <v>0.42684970939404743</v>
      </c>
    </row>
    <row r="187" spans="1:5" ht="16.95" hidden="1" customHeight="1">
      <c r="A187" s="15" t="s">
        <v>565</v>
      </c>
      <c r="B187" t="s">
        <v>937</v>
      </c>
      <c r="C187" t="str">
        <f t="shared" si="4"/>
        <v>YES</v>
      </c>
      <c r="D187" s="14" t="s">
        <v>28</v>
      </c>
      <c r="E187" s="14">
        <f t="shared" ca="1" si="5"/>
        <v>0.6056068052521506</v>
      </c>
    </row>
    <row r="188" spans="1:5" ht="16.95" hidden="1" customHeight="1">
      <c r="A188" s="15" t="s">
        <v>635</v>
      </c>
      <c r="B188" t="s">
        <v>516</v>
      </c>
      <c r="C188" t="str">
        <f t="shared" si="4"/>
        <v>YES</v>
      </c>
      <c r="D188" s="14" t="s">
        <v>110</v>
      </c>
      <c r="E188" s="14">
        <f t="shared" ca="1" si="5"/>
        <v>0.57578500400586019</v>
      </c>
    </row>
    <row r="189" spans="1:5" ht="16.95" hidden="1" customHeight="1">
      <c r="A189" s="15" t="s">
        <v>361</v>
      </c>
      <c r="B189" t="s">
        <v>939</v>
      </c>
      <c r="C189" t="str">
        <f t="shared" si="4"/>
        <v>YES</v>
      </c>
      <c r="D189" s="14" t="s">
        <v>713</v>
      </c>
      <c r="E189" s="14">
        <f t="shared" ca="1" si="5"/>
        <v>0.1170061584691553</v>
      </c>
    </row>
    <row r="190" spans="1:5" ht="16.95" customHeight="1">
      <c r="A190" s="15" t="s">
        <v>692</v>
      </c>
      <c r="B190" t="s">
        <v>530</v>
      </c>
      <c r="C190" t="str">
        <f t="shared" si="4"/>
        <v>NO</v>
      </c>
      <c r="D190" s="14" t="s">
        <v>693</v>
      </c>
      <c r="E190" s="14">
        <f t="shared" ca="1" si="5"/>
        <v>0.87441598709730806</v>
      </c>
    </row>
    <row r="191" spans="1:5" ht="16.95" customHeight="1">
      <c r="A191" s="15" t="s">
        <v>134</v>
      </c>
      <c r="B191" t="s">
        <v>530</v>
      </c>
      <c r="C191" t="str">
        <f t="shared" si="4"/>
        <v>NO</v>
      </c>
      <c r="D191" s="14" t="s">
        <v>135</v>
      </c>
      <c r="E191" s="14">
        <f t="shared" ca="1" si="5"/>
        <v>0.37982923039421612</v>
      </c>
    </row>
    <row r="192" spans="1:5" ht="16.95" customHeight="1">
      <c r="A192" s="15" t="s">
        <v>621</v>
      </c>
      <c r="B192" t="s">
        <v>530</v>
      </c>
      <c r="C192" t="str">
        <f t="shared" si="4"/>
        <v>NO</v>
      </c>
      <c r="D192" s="14" t="s">
        <v>98</v>
      </c>
      <c r="E192" s="14">
        <f t="shared" ca="1" si="5"/>
        <v>0.24685190043363481</v>
      </c>
    </row>
    <row r="193" spans="1:5" ht="16.95" customHeight="1">
      <c r="A193" s="15" t="s">
        <v>775</v>
      </c>
      <c r="B193" t="s">
        <v>530</v>
      </c>
      <c r="C193" t="str">
        <f t="shared" si="4"/>
        <v>NO</v>
      </c>
      <c r="D193" s="14" t="s">
        <v>776</v>
      </c>
      <c r="E193" s="14">
        <f t="shared" ca="1" si="5"/>
        <v>0.52091624897192812</v>
      </c>
    </row>
    <row r="194" spans="1:5" ht="16.95" customHeight="1">
      <c r="A194" s="15" t="s">
        <v>555</v>
      </c>
      <c r="B194" t="s">
        <v>530</v>
      </c>
      <c r="C194" t="str">
        <f t="shared" ref="C194:C257" si="6">IF(ISNUMBER(SEARCH(B194,D194)),"YES","NO")</f>
        <v>NO</v>
      </c>
      <c r="D194" s="14" t="s">
        <v>556</v>
      </c>
      <c r="E194" s="14">
        <f t="shared" ref="E194:E257" ca="1" si="7">RAND()</f>
        <v>0.72972460695119745</v>
      </c>
    </row>
    <row r="195" spans="1:5" ht="16.95" customHeight="1">
      <c r="A195" s="15" t="s">
        <v>620</v>
      </c>
      <c r="B195" t="s">
        <v>530</v>
      </c>
      <c r="C195" t="str">
        <f t="shared" si="6"/>
        <v>NO</v>
      </c>
      <c r="D195" s="14" t="s">
        <v>96</v>
      </c>
      <c r="E195" s="14">
        <f t="shared" ca="1" si="7"/>
        <v>6.1352407213905114E-2</v>
      </c>
    </row>
    <row r="196" spans="1:5" ht="16.95" hidden="1" customHeight="1">
      <c r="A196" s="15" t="s">
        <v>39</v>
      </c>
      <c r="B196" t="s">
        <v>942</v>
      </c>
      <c r="C196" t="str">
        <f t="shared" si="6"/>
        <v>YES</v>
      </c>
      <c r="D196" s="14" t="s">
        <v>40</v>
      </c>
      <c r="E196" s="14">
        <f t="shared" ca="1" si="7"/>
        <v>0.22677336988893504</v>
      </c>
    </row>
    <row r="197" spans="1:5" ht="16.95" customHeight="1">
      <c r="A197" s="15" t="s">
        <v>624</v>
      </c>
      <c r="B197" t="s">
        <v>530</v>
      </c>
      <c r="C197" t="str">
        <f t="shared" si="6"/>
        <v>NO</v>
      </c>
      <c r="D197" s="14" t="s">
        <v>625</v>
      </c>
      <c r="E197" s="14">
        <f t="shared" ca="1" si="7"/>
        <v>0.82394509523640103</v>
      </c>
    </row>
    <row r="198" spans="1:5" ht="16.95" customHeight="1">
      <c r="A198" s="15" t="s">
        <v>803</v>
      </c>
      <c r="B198" t="s">
        <v>530</v>
      </c>
      <c r="C198" t="str">
        <f t="shared" si="6"/>
        <v>NO</v>
      </c>
      <c r="D198" s="14" t="s">
        <v>804</v>
      </c>
      <c r="E198" s="14">
        <f t="shared" ca="1" si="7"/>
        <v>0.98355770819781363</v>
      </c>
    </row>
    <row r="199" spans="1:5" ht="16.95" hidden="1" customHeight="1">
      <c r="A199" s="15" t="s">
        <v>574</v>
      </c>
      <c r="B199" t="s">
        <v>940</v>
      </c>
      <c r="C199" t="str">
        <f t="shared" si="6"/>
        <v>YES</v>
      </c>
      <c r="D199" s="14" t="s">
        <v>46</v>
      </c>
      <c r="E199" s="14">
        <f t="shared" ca="1" si="7"/>
        <v>0.67750658678353293</v>
      </c>
    </row>
    <row r="200" spans="1:5" ht="16.95" customHeight="1">
      <c r="A200" s="15" t="s">
        <v>655</v>
      </c>
      <c r="B200" t="s">
        <v>530</v>
      </c>
      <c r="C200" t="str">
        <f t="shared" si="6"/>
        <v>NO</v>
      </c>
      <c r="D200" s="14" t="s">
        <v>150</v>
      </c>
      <c r="E200" s="14">
        <f t="shared" ca="1" si="7"/>
        <v>0.85303006464947129</v>
      </c>
    </row>
    <row r="201" spans="1:5" ht="16.95" customHeight="1">
      <c r="A201" s="15" t="s">
        <v>7</v>
      </c>
      <c r="B201" t="s">
        <v>530</v>
      </c>
      <c r="C201" t="str">
        <f t="shared" si="6"/>
        <v>NO</v>
      </c>
      <c r="D201" s="14" t="s">
        <v>8</v>
      </c>
      <c r="E201" s="14">
        <f t="shared" ca="1" si="7"/>
        <v>0.28347717816157103</v>
      </c>
    </row>
    <row r="202" spans="1:5" ht="16.95" customHeight="1">
      <c r="A202" s="15" t="s">
        <v>757</v>
      </c>
      <c r="B202" t="s">
        <v>530</v>
      </c>
      <c r="C202" t="str">
        <f t="shared" si="6"/>
        <v>NO</v>
      </c>
      <c r="D202" s="14" t="s">
        <v>758</v>
      </c>
      <c r="E202" s="14">
        <f t="shared" ca="1" si="7"/>
        <v>0.48197953286022244</v>
      </c>
    </row>
    <row r="203" spans="1:5" ht="16.95" customHeight="1">
      <c r="A203" s="15" t="s">
        <v>765</v>
      </c>
      <c r="B203" t="s">
        <v>530</v>
      </c>
      <c r="C203" t="str">
        <f t="shared" si="6"/>
        <v>NO</v>
      </c>
      <c r="D203" s="14" t="s">
        <v>766</v>
      </c>
      <c r="E203" s="14">
        <f t="shared" ca="1" si="7"/>
        <v>0.1292501164823211</v>
      </c>
    </row>
    <row r="204" spans="1:5" ht="16.95" hidden="1" customHeight="1">
      <c r="A204" s="15" t="s">
        <v>561</v>
      </c>
      <c r="B204" t="s">
        <v>941</v>
      </c>
      <c r="C204" t="str">
        <f t="shared" si="6"/>
        <v>YES</v>
      </c>
      <c r="D204" s="14" t="s">
        <v>562</v>
      </c>
      <c r="E204" s="14">
        <f t="shared" ca="1" si="7"/>
        <v>0.41390715734214667</v>
      </c>
    </row>
    <row r="205" spans="1:5" ht="16.95" customHeight="1">
      <c r="A205" s="15" t="s">
        <v>802</v>
      </c>
      <c r="B205" t="s">
        <v>530</v>
      </c>
      <c r="C205" t="str">
        <f t="shared" si="6"/>
        <v>NO</v>
      </c>
      <c r="D205" s="14" t="s">
        <v>694</v>
      </c>
      <c r="E205" s="14">
        <f t="shared" ca="1" si="7"/>
        <v>0.51536638789339284</v>
      </c>
    </row>
    <row r="206" spans="1:5" ht="16.95" hidden="1" customHeight="1">
      <c r="A206" s="15" t="s">
        <v>680</v>
      </c>
      <c r="B206" t="s">
        <v>943</v>
      </c>
      <c r="C206" t="str">
        <f t="shared" si="6"/>
        <v>YES</v>
      </c>
      <c r="D206" s="14" t="s">
        <v>160</v>
      </c>
      <c r="E206" s="14">
        <f t="shared" ca="1" si="7"/>
        <v>0.61930178761496879</v>
      </c>
    </row>
    <row r="207" spans="1:5" ht="16.95" hidden="1" customHeight="1">
      <c r="A207" s="15" t="s">
        <v>738</v>
      </c>
      <c r="B207" t="s">
        <v>398</v>
      </c>
      <c r="C207" t="str">
        <f t="shared" si="6"/>
        <v>YES</v>
      </c>
      <c r="D207" s="14" t="s">
        <v>739</v>
      </c>
      <c r="E207" s="14">
        <f t="shared" ca="1" si="7"/>
        <v>0.49061132111565409</v>
      </c>
    </row>
    <row r="208" spans="1:5" ht="16.95" hidden="1" customHeight="1">
      <c r="A208" s="15" t="s">
        <v>566</v>
      </c>
      <c r="B208" t="s">
        <v>29</v>
      </c>
      <c r="C208" t="str">
        <f t="shared" si="6"/>
        <v>YES</v>
      </c>
      <c r="D208" s="14" t="s">
        <v>567</v>
      </c>
      <c r="E208" s="14">
        <f t="shared" ca="1" si="7"/>
        <v>0.84085900176866502</v>
      </c>
    </row>
    <row r="209" spans="1:5" ht="16.95" hidden="1" customHeight="1">
      <c r="A209" s="15" t="s">
        <v>684</v>
      </c>
      <c r="B209" t="s">
        <v>944</v>
      </c>
      <c r="C209" t="str">
        <f t="shared" si="6"/>
        <v>YES</v>
      </c>
      <c r="D209" s="14" t="s">
        <v>162</v>
      </c>
      <c r="E209" s="14">
        <f t="shared" ca="1" si="7"/>
        <v>4.4452621728886532E-3</v>
      </c>
    </row>
    <row r="210" spans="1:5" ht="16.95" hidden="1" customHeight="1">
      <c r="A210" s="15" t="s">
        <v>549</v>
      </c>
      <c r="B210" t="s">
        <v>860</v>
      </c>
      <c r="C210" t="str">
        <f t="shared" si="6"/>
        <v>YES</v>
      </c>
      <c r="D210" s="14" t="s">
        <v>18</v>
      </c>
      <c r="E210" s="14">
        <f t="shared" ca="1" si="7"/>
        <v>0.62359920988955375</v>
      </c>
    </row>
    <row r="211" spans="1:5" ht="16.95" hidden="1" customHeight="1">
      <c r="A211" s="15" t="s">
        <v>741</v>
      </c>
      <c r="B211" t="s">
        <v>400</v>
      </c>
      <c r="C211" t="str">
        <f t="shared" si="6"/>
        <v>YES</v>
      </c>
      <c r="D211" s="14" t="s">
        <v>93</v>
      </c>
      <c r="E211" s="14">
        <f t="shared" ca="1" si="7"/>
        <v>0.60594679777262495</v>
      </c>
    </row>
    <row r="212" spans="1:5" ht="16.95" hidden="1" customHeight="1">
      <c r="A212" s="15" t="s">
        <v>830</v>
      </c>
      <c r="B212" t="s">
        <v>529</v>
      </c>
      <c r="C212" t="str">
        <f t="shared" si="6"/>
        <v>YES</v>
      </c>
      <c r="D212" s="14" t="s">
        <v>831</v>
      </c>
      <c r="E212" s="14">
        <f t="shared" ca="1" si="7"/>
        <v>0.87445306469130102</v>
      </c>
    </row>
    <row r="213" spans="1:5" ht="16.95" hidden="1" customHeight="1">
      <c r="A213" s="15" t="s">
        <v>630</v>
      </c>
      <c r="B213" t="s">
        <v>451</v>
      </c>
      <c r="C213" t="str">
        <f t="shared" si="6"/>
        <v>YES</v>
      </c>
      <c r="D213" s="14" t="s">
        <v>107</v>
      </c>
      <c r="E213" s="14">
        <f t="shared" ca="1" si="7"/>
        <v>0.25229731119655774</v>
      </c>
    </row>
    <row r="214" spans="1:5" ht="16.95" customHeight="1">
      <c r="A214" s="15" t="s">
        <v>789</v>
      </c>
      <c r="B214" t="s">
        <v>530</v>
      </c>
      <c r="C214" t="str">
        <f t="shared" si="6"/>
        <v>NO</v>
      </c>
      <c r="D214" s="14" t="s">
        <v>790</v>
      </c>
      <c r="E214" s="14">
        <f t="shared" ca="1" si="7"/>
        <v>0.45150560328857114</v>
      </c>
    </row>
    <row r="215" spans="1:5" ht="16.95" customHeight="1">
      <c r="A215" s="15" t="s">
        <v>667</v>
      </c>
      <c r="B215" t="s">
        <v>530</v>
      </c>
      <c r="C215" t="str">
        <f t="shared" si="6"/>
        <v>NO</v>
      </c>
      <c r="D215" s="14" t="s">
        <v>152</v>
      </c>
      <c r="E215" s="14">
        <f t="shared" ca="1" si="7"/>
        <v>0.33319216532530105</v>
      </c>
    </row>
    <row r="216" spans="1:5" ht="16.95" customHeight="1">
      <c r="A216" s="15" t="s">
        <v>546</v>
      </c>
      <c r="B216" t="s">
        <v>530</v>
      </c>
      <c r="C216" t="str">
        <f t="shared" si="6"/>
        <v>NO</v>
      </c>
      <c r="D216" s="14" t="s">
        <v>9</v>
      </c>
      <c r="E216" s="14">
        <f t="shared" ca="1" si="7"/>
        <v>0.59138417042276326</v>
      </c>
    </row>
    <row r="217" spans="1:5" ht="16.95" customHeight="1">
      <c r="A217" s="15" t="s">
        <v>695</v>
      </c>
      <c r="B217" t="s">
        <v>530</v>
      </c>
      <c r="C217" t="str">
        <f t="shared" si="6"/>
        <v>NO</v>
      </c>
      <c r="D217" s="14" t="s">
        <v>696</v>
      </c>
      <c r="E217" s="14">
        <f t="shared" ca="1" si="7"/>
        <v>0.84056237854255733</v>
      </c>
    </row>
    <row r="218" spans="1:5" ht="16.95" customHeight="1">
      <c r="A218" s="15" t="s">
        <v>811</v>
      </c>
      <c r="B218" t="s">
        <v>530</v>
      </c>
      <c r="C218" t="str">
        <f t="shared" si="6"/>
        <v>NO</v>
      </c>
      <c r="D218" s="14" t="s">
        <v>139</v>
      </c>
      <c r="E218" s="14">
        <f t="shared" ca="1" si="7"/>
        <v>0.52898330693928697</v>
      </c>
    </row>
    <row r="219" spans="1:5" ht="16.95" hidden="1" customHeight="1">
      <c r="A219" s="15" t="s">
        <v>600</v>
      </c>
      <c r="B219" t="s">
        <v>946</v>
      </c>
      <c r="C219" t="str">
        <f t="shared" si="6"/>
        <v>YES</v>
      </c>
      <c r="D219" s="14" t="s">
        <v>601</v>
      </c>
      <c r="E219" s="14">
        <f t="shared" ca="1" si="7"/>
        <v>0.10925503329167419</v>
      </c>
    </row>
    <row r="220" spans="1:5" ht="16.95" customHeight="1">
      <c r="A220" s="15" t="s">
        <v>767</v>
      </c>
      <c r="B220" t="s">
        <v>530</v>
      </c>
      <c r="C220" t="str">
        <f t="shared" si="6"/>
        <v>NO</v>
      </c>
      <c r="D220" s="14" t="s">
        <v>768</v>
      </c>
      <c r="E220" s="14">
        <f t="shared" ca="1" si="7"/>
        <v>0.95479145704698221</v>
      </c>
    </row>
    <row r="221" spans="1:5" ht="16.95" customHeight="1">
      <c r="A221" s="15" t="s">
        <v>748</v>
      </c>
      <c r="B221" t="s">
        <v>530</v>
      </c>
      <c r="C221" t="str">
        <f t="shared" si="6"/>
        <v>NO</v>
      </c>
      <c r="D221" s="14" t="s">
        <v>749</v>
      </c>
      <c r="E221" s="14">
        <f t="shared" ca="1" si="7"/>
        <v>0.57817760667118911</v>
      </c>
    </row>
    <row r="222" spans="1:5" ht="16.95" hidden="1" customHeight="1">
      <c r="A222" s="15" t="s">
        <v>835</v>
      </c>
      <c r="B222" t="s">
        <v>29</v>
      </c>
      <c r="C222" t="str">
        <f t="shared" si="6"/>
        <v>YES</v>
      </c>
      <c r="D222" s="14" t="s">
        <v>567</v>
      </c>
      <c r="E222" s="14">
        <f t="shared" ca="1" si="7"/>
        <v>0.39797839377232258</v>
      </c>
    </row>
    <row r="223" spans="1:5" ht="16.95" customHeight="1">
      <c r="A223" s="15" t="s">
        <v>130</v>
      </c>
      <c r="B223" t="s">
        <v>877</v>
      </c>
      <c r="C223" t="str">
        <f t="shared" si="6"/>
        <v>NO</v>
      </c>
      <c r="D223" s="14" t="s">
        <v>131</v>
      </c>
      <c r="E223" s="14">
        <f t="shared" ca="1" si="7"/>
        <v>3.2509203033358469E-3</v>
      </c>
    </row>
    <row r="224" spans="1:5" ht="16.95" customHeight="1">
      <c r="A224" s="15" t="s">
        <v>687</v>
      </c>
      <c r="B224" t="s">
        <v>530</v>
      </c>
      <c r="C224" t="str">
        <f t="shared" si="6"/>
        <v>NO</v>
      </c>
      <c r="D224" s="14" t="s">
        <v>163</v>
      </c>
      <c r="E224" s="14">
        <f t="shared" ca="1" si="7"/>
        <v>0.42419818294679557</v>
      </c>
    </row>
    <row r="225" spans="1:5" ht="16.95" hidden="1" customHeight="1">
      <c r="A225" s="15" t="s">
        <v>84</v>
      </c>
      <c r="B225" t="s">
        <v>945</v>
      </c>
      <c r="C225" t="str">
        <f t="shared" si="6"/>
        <v>YES</v>
      </c>
      <c r="D225" s="14" t="s">
        <v>85</v>
      </c>
      <c r="E225" s="14">
        <f t="shared" ca="1" si="7"/>
        <v>0.27401959169176682</v>
      </c>
    </row>
    <row r="226" spans="1:5" ht="16.95" customHeight="1">
      <c r="A226" s="15" t="s">
        <v>805</v>
      </c>
      <c r="B226" t="s">
        <v>530</v>
      </c>
      <c r="C226" t="str">
        <f t="shared" si="6"/>
        <v>NO</v>
      </c>
      <c r="D226" s="14" t="s">
        <v>573</v>
      </c>
      <c r="E226" s="14">
        <f t="shared" ca="1" si="7"/>
        <v>7.352401562521993E-2</v>
      </c>
    </row>
    <row r="227" spans="1:5" ht="16.95" customHeight="1">
      <c r="A227" s="15" t="s">
        <v>836</v>
      </c>
      <c r="B227" t="s">
        <v>530</v>
      </c>
      <c r="C227" t="str">
        <f t="shared" si="6"/>
        <v>NO</v>
      </c>
      <c r="D227" s="14" t="s">
        <v>837</v>
      </c>
      <c r="E227" s="14">
        <f t="shared" ca="1" si="7"/>
        <v>0.99118370609832884</v>
      </c>
    </row>
    <row r="228" spans="1:5" ht="16.95" customHeight="1">
      <c r="A228" s="15" t="s">
        <v>553</v>
      </c>
      <c r="B228" t="s">
        <v>530</v>
      </c>
      <c r="C228" t="str">
        <f t="shared" si="6"/>
        <v>NO</v>
      </c>
      <c r="D228" s="14" t="s">
        <v>554</v>
      </c>
      <c r="E228" s="14">
        <f t="shared" ca="1" si="7"/>
        <v>0.43092627927266758</v>
      </c>
    </row>
    <row r="229" spans="1:5" ht="16.95" hidden="1" customHeight="1">
      <c r="A229" s="15" t="s">
        <v>731</v>
      </c>
      <c r="B229" t="s">
        <v>389</v>
      </c>
      <c r="C229" t="str">
        <f t="shared" si="6"/>
        <v>YES</v>
      </c>
      <c r="D229" s="14" t="s">
        <v>732</v>
      </c>
      <c r="E229" s="14">
        <f t="shared" ca="1" si="7"/>
        <v>0.4005652903664233</v>
      </c>
    </row>
    <row r="230" spans="1:5" ht="16.95" customHeight="1">
      <c r="A230" s="15" t="s">
        <v>711</v>
      </c>
      <c r="B230" t="s">
        <v>530</v>
      </c>
      <c r="C230" t="str">
        <f t="shared" si="6"/>
        <v>NO</v>
      </c>
      <c r="D230" s="14" t="s">
        <v>712</v>
      </c>
      <c r="E230" s="14">
        <f t="shared" ca="1" si="7"/>
        <v>0.10651180551254802</v>
      </c>
    </row>
    <row r="231" spans="1:5" ht="16.95" customHeight="1">
      <c r="A231" s="15" t="s">
        <v>15</v>
      </c>
      <c r="B231" t="s">
        <v>947</v>
      </c>
      <c r="C231" t="str">
        <f>IF(ISNUMBER(SEARCH(#REF!,D231)),"YES","NO")</f>
        <v>NO</v>
      </c>
      <c r="D231" s="14" t="s">
        <v>557</v>
      </c>
      <c r="E231" s="14">
        <f t="shared" ca="1" si="7"/>
        <v>0.14111636143417283</v>
      </c>
    </row>
    <row r="232" spans="1:5" ht="16.95" customHeight="1">
      <c r="A232" s="15" t="s">
        <v>809</v>
      </c>
      <c r="B232" t="s">
        <v>530</v>
      </c>
      <c r="C232" t="str">
        <f>IF(ISNUMBER(SEARCH(B231,D232)),"YES","NO")</f>
        <v>NO</v>
      </c>
      <c r="D232" s="14" t="s">
        <v>810</v>
      </c>
      <c r="E232" s="14">
        <f t="shared" ca="1" si="7"/>
        <v>0.25993142808311887</v>
      </c>
    </row>
    <row r="233" spans="1:5" ht="16.95" hidden="1" customHeight="1">
      <c r="A233" s="15" t="s">
        <v>122</v>
      </c>
      <c r="B233" t="s">
        <v>948</v>
      </c>
      <c r="C233" t="str">
        <f t="shared" ref="C233:C268" si="8">IF(ISNUMBER(SEARCH(B233,D233)),"YES","NO")</f>
        <v>YES</v>
      </c>
      <c r="D233" s="14" t="s">
        <v>123</v>
      </c>
      <c r="E233" s="14">
        <f t="shared" ca="1" si="7"/>
        <v>0.22787519401966672</v>
      </c>
    </row>
    <row r="234" spans="1:5" ht="16.95" hidden="1" customHeight="1">
      <c r="A234" s="15" t="s">
        <v>676</v>
      </c>
      <c r="B234" t="s">
        <v>949</v>
      </c>
      <c r="C234" t="str">
        <f t="shared" si="8"/>
        <v>YES</v>
      </c>
      <c r="D234" s="14" t="s">
        <v>156</v>
      </c>
      <c r="E234" s="14">
        <f t="shared" ca="1" si="7"/>
        <v>0.2274594380159205</v>
      </c>
    </row>
    <row r="235" spans="1:5" ht="16.95" hidden="1" customHeight="1">
      <c r="A235" s="15" t="s">
        <v>54</v>
      </c>
      <c r="B235" t="s">
        <v>950</v>
      </c>
      <c r="C235" t="str">
        <f t="shared" si="8"/>
        <v>YES</v>
      </c>
      <c r="D235" s="14" t="s">
        <v>55</v>
      </c>
      <c r="E235" s="14">
        <f t="shared" ca="1" si="7"/>
        <v>0.44022390344740681</v>
      </c>
    </row>
    <row r="236" spans="1:5" ht="16.95" customHeight="1">
      <c r="A236" s="15" t="s">
        <v>753</v>
      </c>
      <c r="B236" t="s">
        <v>530</v>
      </c>
      <c r="C236" t="str">
        <f t="shared" si="8"/>
        <v>NO</v>
      </c>
      <c r="D236" s="14" t="s">
        <v>754</v>
      </c>
      <c r="E236" s="14">
        <f t="shared" ca="1" si="7"/>
        <v>0.20001433957891679</v>
      </c>
    </row>
    <row r="237" spans="1:5" ht="16.95" hidden="1" customHeight="1">
      <c r="A237" s="15" t="s">
        <v>769</v>
      </c>
      <c r="B237" t="s">
        <v>438</v>
      </c>
      <c r="C237" t="str">
        <f t="shared" si="8"/>
        <v>YES</v>
      </c>
      <c r="D237" s="14" t="s">
        <v>770</v>
      </c>
      <c r="E237" s="14">
        <f t="shared" ca="1" si="7"/>
        <v>0.37006943091648659</v>
      </c>
    </row>
    <row r="238" spans="1:5" ht="16.95" hidden="1" customHeight="1">
      <c r="A238" s="15" t="s">
        <v>576</v>
      </c>
      <c r="B238" t="s">
        <v>405</v>
      </c>
      <c r="C238" t="str">
        <f t="shared" si="8"/>
        <v>YES</v>
      </c>
      <c r="D238" s="14" t="s">
        <v>48</v>
      </c>
      <c r="E238" s="14">
        <f t="shared" ca="1" si="7"/>
        <v>0.2700449986502359</v>
      </c>
    </row>
    <row r="239" spans="1:5" ht="16.95" hidden="1" customHeight="1">
      <c r="A239" s="15" t="s">
        <v>798</v>
      </c>
      <c r="B239" t="s">
        <v>504</v>
      </c>
      <c r="C239" t="str">
        <f t="shared" si="8"/>
        <v>YES</v>
      </c>
      <c r="D239" s="14" t="s">
        <v>799</v>
      </c>
      <c r="E239" s="14">
        <f t="shared" ca="1" si="7"/>
        <v>0.16071837002439893</v>
      </c>
    </row>
    <row r="240" spans="1:5" ht="16.95" customHeight="1">
      <c r="A240" s="15" t="s">
        <v>771</v>
      </c>
      <c r="B240" t="s">
        <v>530</v>
      </c>
      <c r="C240" t="str">
        <f t="shared" si="8"/>
        <v>NO</v>
      </c>
      <c r="D240" s="14" t="s">
        <v>573</v>
      </c>
      <c r="E240" s="14">
        <f t="shared" ca="1" si="7"/>
        <v>0.63211525444985361</v>
      </c>
    </row>
    <row r="241" spans="1:5" ht="16.95" customHeight="1">
      <c r="A241" s="15" t="s">
        <v>644</v>
      </c>
      <c r="B241" t="s">
        <v>530</v>
      </c>
      <c r="C241" t="str">
        <f t="shared" si="8"/>
        <v>NO</v>
      </c>
      <c r="D241" s="14" t="s">
        <v>119</v>
      </c>
      <c r="E241" s="14">
        <f t="shared" ca="1" si="7"/>
        <v>0.94961654330458423</v>
      </c>
    </row>
    <row r="242" spans="1:5" ht="16.95" hidden="1" customHeight="1">
      <c r="A242" s="15" t="s">
        <v>588</v>
      </c>
      <c r="B242" t="s">
        <v>935</v>
      </c>
      <c r="C242" t="str">
        <f t="shared" si="8"/>
        <v>YES</v>
      </c>
      <c r="D242" s="14" t="s">
        <v>67</v>
      </c>
      <c r="E242" s="14">
        <f t="shared" ca="1" si="7"/>
        <v>0.5745248249242938</v>
      </c>
    </row>
    <row r="243" spans="1:5" ht="16.95" customHeight="1">
      <c r="A243" s="15" t="s">
        <v>653</v>
      </c>
      <c r="B243" t="s">
        <v>530</v>
      </c>
      <c r="C243" t="str">
        <f t="shared" si="8"/>
        <v>NO</v>
      </c>
      <c r="D243" s="14" t="s">
        <v>654</v>
      </c>
      <c r="E243" s="14">
        <f t="shared" ca="1" si="7"/>
        <v>3.9348569417095525E-2</v>
      </c>
    </row>
    <row r="244" spans="1:5" ht="16.95" customHeight="1">
      <c r="A244" s="15" t="s">
        <v>558</v>
      </c>
      <c r="B244" t="s">
        <v>530</v>
      </c>
      <c r="C244" t="str">
        <f t="shared" si="8"/>
        <v>NO</v>
      </c>
      <c r="D244" s="14" t="s">
        <v>25</v>
      </c>
      <c r="E244" s="14">
        <f t="shared" ca="1" si="7"/>
        <v>0.34529492309903387</v>
      </c>
    </row>
    <row r="245" spans="1:5" ht="16.95" customHeight="1">
      <c r="A245" s="15" t="s">
        <v>577</v>
      </c>
      <c r="B245" t="s">
        <v>530</v>
      </c>
      <c r="C245" t="str">
        <f t="shared" si="8"/>
        <v>NO</v>
      </c>
      <c r="D245" s="14" t="s">
        <v>49</v>
      </c>
      <c r="E245" s="14">
        <f t="shared" ca="1" si="7"/>
        <v>0.25225874095718992</v>
      </c>
    </row>
    <row r="246" spans="1:5" ht="16.95" customHeight="1">
      <c r="A246" s="15" t="s">
        <v>144</v>
      </c>
      <c r="B246" t="s">
        <v>530</v>
      </c>
      <c r="C246" t="str">
        <f t="shared" si="8"/>
        <v>NO</v>
      </c>
      <c r="D246" s="14" t="s">
        <v>145</v>
      </c>
      <c r="E246" s="14">
        <f t="shared" ca="1" si="7"/>
        <v>0.23056959486827266</v>
      </c>
    </row>
    <row r="247" spans="1:5" ht="16.95" customHeight="1">
      <c r="A247" s="15" t="s">
        <v>710</v>
      </c>
      <c r="B247" t="s">
        <v>530</v>
      </c>
      <c r="C247" t="str">
        <f t="shared" si="8"/>
        <v>NO</v>
      </c>
      <c r="D247" s="14" t="s">
        <v>179</v>
      </c>
      <c r="E247" s="14">
        <f t="shared" ca="1" si="7"/>
        <v>0.70712204221364705</v>
      </c>
    </row>
    <row r="248" spans="1:5" ht="16.95" hidden="1" customHeight="1">
      <c r="A248" s="15" t="s">
        <v>35</v>
      </c>
      <c r="B248" t="s">
        <v>517</v>
      </c>
      <c r="C248" t="str">
        <f t="shared" si="8"/>
        <v>YES</v>
      </c>
      <c r="D248" s="14" t="s">
        <v>36</v>
      </c>
      <c r="E248" s="14">
        <f t="shared" ca="1" si="7"/>
        <v>0.31906692928869729</v>
      </c>
    </row>
    <row r="249" spans="1:5" ht="16.95" customHeight="1">
      <c r="A249" s="15" t="s">
        <v>540</v>
      </c>
      <c r="B249" t="s">
        <v>530</v>
      </c>
      <c r="C249" t="str">
        <f t="shared" si="8"/>
        <v>NO</v>
      </c>
      <c r="D249" s="14" t="s">
        <v>3</v>
      </c>
      <c r="E249" s="14">
        <f t="shared" ca="1" si="7"/>
        <v>0.40866710508153359</v>
      </c>
    </row>
    <row r="250" spans="1:5" ht="16.95" hidden="1" customHeight="1">
      <c r="A250" s="15" t="s">
        <v>643</v>
      </c>
      <c r="B250" t="s">
        <v>951</v>
      </c>
      <c r="C250" t="str">
        <f t="shared" si="8"/>
        <v>YES</v>
      </c>
      <c r="D250" s="14" t="s">
        <v>951</v>
      </c>
      <c r="E250" s="14">
        <f t="shared" ca="1" si="7"/>
        <v>0.39534531858729882</v>
      </c>
    </row>
    <row r="251" spans="1:5" ht="16.95" customHeight="1">
      <c r="A251" s="15" t="s">
        <v>173</v>
      </c>
      <c r="B251" t="s">
        <v>530</v>
      </c>
      <c r="C251" t="str">
        <f t="shared" si="8"/>
        <v>NO</v>
      </c>
      <c r="D251" s="14" t="s">
        <v>174</v>
      </c>
      <c r="E251" s="14">
        <f t="shared" ca="1" si="7"/>
        <v>0.48975258674533961</v>
      </c>
    </row>
    <row r="252" spans="1:5" ht="16.95" customHeight="1">
      <c r="A252" s="15" t="s">
        <v>140</v>
      </c>
      <c r="B252" t="s">
        <v>530</v>
      </c>
      <c r="C252" t="str">
        <f t="shared" si="8"/>
        <v>NO</v>
      </c>
      <c r="D252" s="14" t="s">
        <v>141</v>
      </c>
      <c r="E252" s="14">
        <f t="shared" ca="1" si="7"/>
        <v>0.95108108551124404</v>
      </c>
    </row>
    <row r="253" spans="1:5" ht="16.95" hidden="1" customHeight="1">
      <c r="A253" s="15" t="s">
        <v>614</v>
      </c>
      <c r="B253" t="s">
        <v>911</v>
      </c>
      <c r="C253" t="str">
        <f t="shared" si="8"/>
        <v>YES</v>
      </c>
      <c r="D253" s="14" t="s">
        <v>615</v>
      </c>
      <c r="E253" s="14">
        <f t="shared" ca="1" si="7"/>
        <v>0.65800145938176113</v>
      </c>
    </row>
    <row r="254" spans="1:5" ht="16.95" customHeight="1">
      <c r="A254" s="15" t="s">
        <v>78</v>
      </c>
      <c r="B254" t="s">
        <v>530</v>
      </c>
      <c r="C254" t="str">
        <f t="shared" si="8"/>
        <v>NO</v>
      </c>
      <c r="D254" s="14" t="s">
        <v>79</v>
      </c>
      <c r="E254" s="14">
        <f t="shared" ca="1" si="7"/>
        <v>2.0386111174244048E-2</v>
      </c>
    </row>
    <row r="255" spans="1:5" ht="16.95" hidden="1" customHeight="1">
      <c r="A255" s="15" t="s">
        <v>834</v>
      </c>
      <c r="B255" t="s">
        <v>528</v>
      </c>
      <c r="C255" t="str">
        <f t="shared" si="8"/>
        <v>YES</v>
      </c>
      <c r="D255" s="14" t="s">
        <v>149</v>
      </c>
      <c r="E255" s="14">
        <f t="shared" ca="1" si="7"/>
        <v>0.63179376452143443</v>
      </c>
    </row>
    <row r="256" spans="1:5" ht="16.95" hidden="1" customHeight="1">
      <c r="A256" s="15" t="s">
        <v>634</v>
      </c>
      <c r="B256" t="s">
        <v>375</v>
      </c>
      <c r="C256" t="str">
        <f t="shared" si="8"/>
        <v>YES</v>
      </c>
      <c r="D256" s="14" t="s">
        <v>109</v>
      </c>
      <c r="E256" s="14">
        <f t="shared" ca="1" si="7"/>
        <v>0.79195788324546901</v>
      </c>
    </row>
    <row r="257" spans="1:5" ht="16.95" hidden="1" customHeight="1">
      <c r="A257" s="15" t="s">
        <v>631</v>
      </c>
      <c r="B257" t="s">
        <v>363</v>
      </c>
      <c r="C257" t="str">
        <f t="shared" si="8"/>
        <v>YES</v>
      </c>
      <c r="D257" s="14" t="s">
        <v>108</v>
      </c>
      <c r="E257" s="14">
        <f t="shared" ca="1" si="7"/>
        <v>0.92666899747074483</v>
      </c>
    </row>
    <row r="258" spans="1:5" ht="16.95" customHeight="1">
      <c r="A258" s="15" t="s">
        <v>822</v>
      </c>
      <c r="B258" t="s">
        <v>530</v>
      </c>
      <c r="C258" t="str">
        <f t="shared" si="8"/>
        <v>NO</v>
      </c>
      <c r="D258" s="14" t="s">
        <v>823</v>
      </c>
      <c r="E258" s="14">
        <f t="shared" ref="E258:E268" ca="1" si="9">RAND()</f>
        <v>0.23179446872812126</v>
      </c>
    </row>
    <row r="259" spans="1:5" ht="16.95" customHeight="1">
      <c r="A259" s="15" t="s">
        <v>786</v>
      </c>
      <c r="B259" t="s">
        <v>530</v>
      </c>
      <c r="C259" t="str">
        <f t="shared" si="8"/>
        <v>NO</v>
      </c>
      <c r="D259" s="14" t="s">
        <v>787</v>
      </c>
      <c r="E259" s="14">
        <f t="shared" ca="1" si="9"/>
        <v>6.9075191959827587E-3</v>
      </c>
    </row>
    <row r="260" spans="1:5" ht="16.95" hidden="1" customHeight="1">
      <c r="A260" s="15" t="s">
        <v>681</v>
      </c>
      <c r="B260" t="s">
        <v>952</v>
      </c>
      <c r="C260" t="str">
        <f t="shared" si="8"/>
        <v>YES</v>
      </c>
      <c r="D260" s="14" t="s">
        <v>682</v>
      </c>
      <c r="E260" s="14">
        <f t="shared" ca="1" si="9"/>
        <v>0.38512241680890436</v>
      </c>
    </row>
    <row r="261" spans="1:5" ht="16.95" hidden="1" customHeight="1">
      <c r="A261" s="15" t="s">
        <v>642</v>
      </c>
      <c r="B261" t="s">
        <v>414</v>
      </c>
      <c r="C261" t="str">
        <f t="shared" si="8"/>
        <v>YES</v>
      </c>
      <c r="D261" s="14" t="s">
        <v>118</v>
      </c>
      <c r="E261" s="14">
        <f t="shared" ca="1" si="9"/>
        <v>0.44997468405783769</v>
      </c>
    </row>
    <row r="262" spans="1:5" ht="16.95" customHeight="1">
      <c r="A262" s="15" t="s">
        <v>649</v>
      </c>
      <c r="B262" t="s">
        <v>850</v>
      </c>
      <c r="C262" t="str">
        <f t="shared" si="8"/>
        <v>NO</v>
      </c>
      <c r="D262" s="14" t="s">
        <v>650</v>
      </c>
      <c r="E262" s="14">
        <f t="shared" ca="1" si="9"/>
        <v>0.84076205574330531</v>
      </c>
    </row>
    <row r="263" spans="1:5" ht="16.95" customHeight="1">
      <c r="A263" s="15" t="s">
        <v>132</v>
      </c>
      <c r="B263" t="s">
        <v>530</v>
      </c>
      <c r="C263" t="str">
        <f t="shared" si="8"/>
        <v>NO</v>
      </c>
      <c r="D263" s="14" t="s">
        <v>133</v>
      </c>
      <c r="E263" s="14">
        <f t="shared" ca="1" si="9"/>
        <v>0.18590411474630975</v>
      </c>
    </row>
    <row r="264" spans="1:5" ht="16.95" customHeight="1">
      <c r="A264" s="15" t="s">
        <v>570</v>
      </c>
      <c r="B264" t="s">
        <v>530</v>
      </c>
      <c r="C264" t="str">
        <f t="shared" si="8"/>
        <v>NO</v>
      </c>
      <c r="D264" s="14" t="s">
        <v>32</v>
      </c>
      <c r="E264" s="14">
        <f t="shared" ca="1" si="9"/>
        <v>0.89220679991301644</v>
      </c>
    </row>
    <row r="265" spans="1:5" ht="16.95" hidden="1" customHeight="1">
      <c r="A265" s="15" t="s">
        <v>690</v>
      </c>
      <c r="B265" t="s">
        <v>930</v>
      </c>
      <c r="C265" t="str">
        <f t="shared" si="8"/>
        <v>YES</v>
      </c>
      <c r="D265" s="14" t="s">
        <v>691</v>
      </c>
      <c r="E265" s="14">
        <f t="shared" ca="1" si="9"/>
        <v>0.32150030594286916</v>
      </c>
    </row>
    <row r="266" spans="1:5" ht="16.95" hidden="1" customHeight="1">
      <c r="A266" s="15" t="s">
        <v>358</v>
      </c>
      <c r="B266" t="s">
        <v>953</v>
      </c>
      <c r="C266" t="str">
        <f t="shared" si="8"/>
        <v>YES</v>
      </c>
      <c r="D266" s="14" t="s">
        <v>164</v>
      </c>
      <c r="E266" s="14">
        <f t="shared" ca="1" si="9"/>
        <v>2.4410621009751554E-2</v>
      </c>
    </row>
    <row r="267" spans="1:5" ht="16.95" hidden="1" customHeight="1">
      <c r="A267" s="15" t="s">
        <v>616</v>
      </c>
      <c r="B267" t="s">
        <v>399</v>
      </c>
      <c r="C267" t="str">
        <f t="shared" si="8"/>
        <v>YES</v>
      </c>
      <c r="D267" s="14" t="s">
        <v>94</v>
      </c>
      <c r="E267" s="14">
        <f t="shared" ca="1" si="9"/>
        <v>0.30244651756532237</v>
      </c>
    </row>
    <row r="268" spans="1:5" ht="16.95" hidden="1" customHeight="1">
      <c r="A268" s="15" t="s">
        <v>538</v>
      </c>
      <c r="B268" t="s">
        <v>844</v>
      </c>
      <c r="C268" t="str">
        <f t="shared" si="8"/>
        <v>YES</v>
      </c>
      <c r="D268" s="14" t="s">
        <v>1</v>
      </c>
      <c r="E268" s="14">
        <f t="shared" ca="1" si="9"/>
        <v>0.40135957231261266</v>
      </c>
    </row>
  </sheetData>
  <autoFilter ref="A1:E268" xr:uid="{FD8E0258-602D-4A63-90EE-A6EAD80417DE}">
    <filterColumn colId="2">
      <filters>
        <filter val="NO"/>
      </filters>
    </filterColumn>
    <sortState xmlns:xlrd2="http://schemas.microsoft.com/office/spreadsheetml/2017/richdata2" ref="A2:E268">
      <sortCondition ref="E1"/>
    </sortState>
  </autoFilter>
  <phoneticPr fontId="1" type="noConversion"/>
  <conditionalFormatting sqref="C1:C1048576">
    <cfRule type="containsText" dxfId="1" priority="1" operator="containsText" text="NO">
      <formula>NOT(ISERROR(SEARCH("NO",C1)))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388E4-4F10-4AB5-AFB2-6251DD9282F8}">
  <dimension ref="A1:D108"/>
  <sheetViews>
    <sheetView tabSelected="1" topLeftCell="A91" zoomScaleNormal="100" workbookViewId="0">
      <selection activeCell="B108" sqref="B108"/>
    </sheetView>
  </sheetViews>
  <sheetFormatPr defaultRowHeight="17.399999999999999"/>
  <cols>
    <col min="1" max="1" width="143.19921875" style="18" customWidth="1"/>
    <col min="4" max="4" width="8.796875" style="14"/>
  </cols>
  <sheetData>
    <row r="1" spans="1:4">
      <c r="A1" s="18" t="s">
        <v>537</v>
      </c>
      <c r="B1" t="s">
        <v>865</v>
      </c>
      <c r="C1" s="17" t="s">
        <v>867</v>
      </c>
      <c r="D1" s="14" t="s">
        <v>868</v>
      </c>
    </row>
    <row r="2" spans="1:4">
      <c r="A2" s="18" t="s">
        <v>559</v>
      </c>
      <c r="B2" t="s">
        <v>968</v>
      </c>
      <c r="C2" t="str">
        <f>IF(ISNUMBER(SEARCH(B2,D2)),"YES","NO")</f>
        <v>YES</v>
      </c>
      <c r="D2" s="14" t="s">
        <v>26</v>
      </c>
    </row>
    <row r="3" spans="1:4">
      <c r="A3" s="18" t="s">
        <v>724</v>
      </c>
      <c r="B3" t="s">
        <v>377</v>
      </c>
      <c r="C3" t="str">
        <f>IF(ISNUMBER(SEARCH(B3,D3)),"YES","NO")</f>
        <v>YES</v>
      </c>
      <c r="D3" s="14" t="s">
        <v>725</v>
      </c>
    </row>
    <row r="4" spans="1:4">
      <c r="A4" s="18" t="s">
        <v>134</v>
      </c>
      <c r="B4" t="s">
        <v>980</v>
      </c>
      <c r="C4" t="str">
        <f>IF(ISNUMBER(SEARCH(B4,D4)),"YES","NO")</f>
        <v>YES</v>
      </c>
      <c r="D4" s="14" t="s">
        <v>135</v>
      </c>
    </row>
    <row r="5" spans="1:4">
      <c r="A5" s="18" t="s">
        <v>699</v>
      </c>
      <c r="B5" t="s">
        <v>966</v>
      </c>
      <c r="C5" t="str">
        <f>IF(ISNUMBER(SEARCH(B5,D5)),"YES","NO")</f>
        <v>YES</v>
      </c>
      <c r="D5" s="14" t="s">
        <v>168</v>
      </c>
    </row>
    <row r="6" spans="1:4">
      <c r="A6" s="18" t="s">
        <v>706</v>
      </c>
      <c r="B6" t="s">
        <v>979</v>
      </c>
      <c r="C6" t="str">
        <f>IF(ISNUMBER(SEARCH(B6,D6)),"YES","NO")</f>
        <v>YES</v>
      </c>
      <c r="D6" s="14" t="s">
        <v>707</v>
      </c>
    </row>
    <row r="7" spans="1:4">
      <c r="A7" s="18" t="s">
        <v>811</v>
      </c>
      <c r="B7" t="s">
        <v>510</v>
      </c>
      <c r="C7" t="str">
        <f>IF(ISNUMBER(SEARCH(B7,D7)),"YES","NO")</f>
        <v>YES</v>
      </c>
      <c r="D7" s="14" t="s">
        <v>139</v>
      </c>
    </row>
    <row r="8" spans="1:4">
      <c r="A8" s="18" t="s">
        <v>658</v>
      </c>
      <c r="B8" t="s">
        <v>466</v>
      </c>
      <c r="C8" t="str">
        <f>IF(ISNUMBER(SEARCH(B8,D8)),"YES","NO")</f>
        <v>YES</v>
      </c>
      <c r="D8" s="14" t="s">
        <v>151</v>
      </c>
    </row>
    <row r="9" spans="1:4">
      <c r="A9" s="18" t="s">
        <v>553</v>
      </c>
      <c r="B9" t="s">
        <v>901</v>
      </c>
      <c r="C9" t="str">
        <f>IF(ISNUMBER(SEARCH(B9,D9)),"YES","NO")</f>
        <v>YES</v>
      </c>
      <c r="D9" s="14" t="s">
        <v>554</v>
      </c>
    </row>
    <row r="10" spans="1:4">
      <c r="A10" s="18" t="s">
        <v>711</v>
      </c>
      <c r="B10" t="s">
        <v>989</v>
      </c>
      <c r="C10" t="str">
        <f>IF(ISNUMBER(SEARCH(B10,D10)),"YES","NO")</f>
        <v>YES</v>
      </c>
      <c r="D10" s="14" t="s">
        <v>712</v>
      </c>
    </row>
    <row r="11" spans="1:4">
      <c r="A11" s="18" t="s">
        <v>836</v>
      </c>
      <c r="B11" t="s">
        <v>525</v>
      </c>
      <c r="C11" t="str">
        <f>IF(ISNUMBER(SEARCH(B11,D11)),"YES","NO")</f>
        <v>YES</v>
      </c>
      <c r="D11" s="14" t="s">
        <v>837</v>
      </c>
    </row>
    <row r="12" spans="1:4">
      <c r="A12" s="18" t="s">
        <v>43</v>
      </c>
      <c r="B12" t="s">
        <v>998</v>
      </c>
      <c r="C12" t="str">
        <f>IF(ISNUMBER(SEARCH(B12,D12)),"YES","NO")</f>
        <v>YES</v>
      </c>
      <c r="D12" s="14" t="s">
        <v>573</v>
      </c>
    </row>
    <row r="13" spans="1:4">
      <c r="A13" s="18" t="s">
        <v>780</v>
      </c>
      <c r="B13" t="s">
        <v>1000</v>
      </c>
      <c r="C13" t="str">
        <f>IF(ISNUMBER(SEARCH(B13,D13)),"YES","NO")</f>
        <v>YES</v>
      </c>
      <c r="D13" s="14" t="s">
        <v>781</v>
      </c>
    </row>
    <row r="14" spans="1:4">
      <c r="A14" s="18" t="s">
        <v>571</v>
      </c>
      <c r="B14" t="s">
        <v>999</v>
      </c>
      <c r="C14" t="str">
        <f>IF(ISNUMBER(SEARCH(B14,D14)),"YES","NO")</f>
        <v>YES</v>
      </c>
      <c r="D14" s="14" t="s">
        <v>41</v>
      </c>
    </row>
    <row r="15" spans="1:4">
      <c r="A15" s="18" t="s">
        <v>771</v>
      </c>
      <c r="B15" t="s">
        <v>998</v>
      </c>
      <c r="C15" t="str">
        <f>IF(ISNUMBER(SEARCH(B15,D15)),"YES","NO")</f>
        <v>YES</v>
      </c>
      <c r="D15" s="14" t="s">
        <v>573</v>
      </c>
    </row>
    <row r="16" spans="1:4">
      <c r="A16" s="18" t="s">
        <v>783</v>
      </c>
      <c r="B16" t="s">
        <v>464</v>
      </c>
      <c r="C16" t="str">
        <f>IF(ISNUMBER(SEARCH(B16,D16)),"YES","NO")</f>
        <v>YES</v>
      </c>
      <c r="D16" s="14" t="s">
        <v>98</v>
      </c>
    </row>
    <row r="17" spans="1:4">
      <c r="A17" s="18" t="s">
        <v>772</v>
      </c>
      <c r="B17" t="s">
        <v>441</v>
      </c>
      <c r="C17" t="str">
        <f>IF(ISNUMBER(SEARCH(B17,D17)),"YES","NO")</f>
        <v>YES</v>
      </c>
      <c r="D17" s="14" t="s">
        <v>174</v>
      </c>
    </row>
    <row r="18" spans="1:4">
      <c r="A18" s="18" t="s">
        <v>695</v>
      </c>
      <c r="B18" t="s">
        <v>1004</v>
      </c>
      <c r="C18" t="str">
        <f>IF(ISNUMBER(SEARCH(B18,D18)),"YES","NO")</f>
        <v>YES</v>
      </c>
      <c r="D18" s="14" t="s">
        <v>696</v>
      </c>
    </row>
    <row r="19" spans="1:4">
      <c r="A19" s="18" t="s">
        <v>540</v>
      </c>
      <c r="B19" t="s">
        <v>846</v>
      </c>
      <c r="C19" t="str">
        <f>IF(ISNUMBER(SEARCH(B19,D19)),"YES","NO")</f>
        <v>YES</v>
      </c>
      <c r="D19" s="14" t="s">
        <v>3</v>
      </c>
    </row>
    <row r="20" spans="1:4">
      <c r="A20" s="18" t="s">
        <v>726</v>
      </c>
      <c r="B20" t="s">
        <v>1001</v>
      </c>
      <c r="C20" t="str">
        <f>IF(ISNUMBER(SEARCH(B20,D20)),"YES","NO")</f>
        <v>YES</v>
      </c>
      <c r="D20" s="14" t="s">
        <v>727</v>
      </c>
    </row>
    <row r="21" spans="1:4">
      <c r="A21" s="18" t="s">
        <v>13</v>
      </c>
      <c r="B21" t="s">
        <v>1003</v>
      </c>
      <c r="C21" t="str">
        <f>IF(ISNUMBER(SEARCH(B21,D21)),"YES","NO")</f>
        <v>YES</v>
      </c>
      <c r="D21" s="14" t="s">
        <v>22</v>
      </c>
    </row>
    <row r="22" spans="1:4">
      <c r="A22" s="18" t="s">
        <v>7</v>
      </c>
      <c r="B22" t="s">
        <v>983</v>
      </c>
      <c r="C22" t="str">
        <f>IF(ISNUMBER(SEARCH(B22,D22)),"YES","NO")</f>
        <v>YES</v>
      </c>
      <c r="D22" s="14" t="s">
        <v>8</v>
      </c>
    </row>
    <row r="23" spans="1:4">
      <c r="A23" s="18" t="s">
        <v>809</v>
      </c>
      <c r="B23" t="s">
        <v>509</v>
      </c>
      <c r="C23" t="str">
        <f>IF(ISNUMBER(SEARCH(B23,D23)),"YES","NO")</f>
        <v>YES</v>
      </c>
      <c r="D23" s="14" t="s">
        <v>810</v>
      </c>
    </row>
    <row r="24" spans="1:4">
      <c r="A24" s="18" t="s">
        <v>563</v>
      </c>
      <c r="B24" t="s">
        <v>1002</v>
      </c>
      <c r="C24" t="str">
        <f>IF(ISNUMBER(SEARCH(B24,D24)),"YES","NO")</f>
        <v>YES</v>
      </c>
      <c r="D24" s="14" t="s">
        <v>564</v>
      </c>
    </row>
    <row r="25" spans="1:4">
      <c r="A25" s="18" t="s">
        <v>33</v>
      </c>
      <c r="B25" t="s">
        <v>955</v>
      </c>
      <c r="C25" t="str">
        <f>IF(ISNUMBER(SEARCH(B25,D25)),"YES","NO")</f>
        <v>YES</v>
      </c>
      <c r="D25" s="14" t="s">
        <v>34</v>
      </c>
    </row>
    <row r="26" spans="1:4">
      <c r="A26" s="18" t="s">
        <v>723</v>
      </c>
      <c r="B26" t="s">
        <v>375</v>
      </c>
      <c r="C26" t="str">
        <f>IF(ISNUMBER(SEARCH(B26,D26)),"YES","NO")</f>
        <v>YES</v>
      </c>
      <c r="D26" s="14" t="s">
        <v>109</v>
      </c>
    </row>
    <row r="27" spans="1:4">
      <c r="A27" s="18" t="s">
        <v>667</v>
      </c>
      <c r="B27" t="s">
        <v>986</v>
      </c>
      <c r="C27" t="str">
        <f>IF(ISNUMBER(SEARCH(B27,D27)),"YES","NO")</f>
        <v>YES</v>
      </c>
      <c r="D27" s="14" t="s">
        <v>152</v>
      </c>
    </row>
    <row r="28" spans="1:4">
      <c r="A28" s="18" t="s">
        <v>15</v>
      </c>
      <c r="B28" t="s">
        <v>1005</v>
      </c>
      <c r="C28" t="str">
        <f>IF(ISNUMBER(SEARCH(B28,D28)),"YES","NO")</f>
        <v>YES</v>
      </c>
      <c r="D28" s="14" t="s">
        <v>557</v>
      </c>
    </row>
    <row r="29" spans="1:4">
      <c r="A29" s="18" t="s">
        <v>805</v>
      </c>
      <c r="B29" t="s">
        <v>998</v>
      </c>
      <c r="C29" t="str">
        <f>IF(ISNUMBER(SEARCH(B29,D29)),"YES","NO")</f>
        <v>YES</v>
      </c>
      <c r="D29" s="14" t="s">
        <v>573</v>
      </c>
    </row>
    <row r="30" spans="1:4">
      <c r="A30" s="18" t="s">
        <v>570</v>
      </c>
      <c r="B30" t="s">
        <v>990</v>
      </c>
      <c r="C30" t="str">
        <f>IF(ISNUMBER(SEARCH(B30,D30)),"YES","NO")</f>
        <v>YES</v>
      </c>
      <c r="D30" s="14" t="s">
        <v>32</v>
      </c>
    </row>
    <row r="31" spans="1:4">
      <c r="A31" s="18" t="s">
        <v>130</v>
      </c>
      <c r="B31" t="s">
        <v>852</v>
      </c>
      <c r="C31" t="str">
        <f>IF(ISNUMBER(SEARCH(B31,D31)),"YES","NO")</f>
        <v>YES</v>
      </c>
      <c r="D31" s="14" t="s">
        <v>131</v>
      </c>
    </row>
    <row r="32" spans="1:4">
      <c r="A32" s="18" t="s">
        <v>812</v>
      </c>
      <c r="B32" t="s">
        <v>1007</v>
      </c>
      <c r="C32" t="str">
        <f>IF(ISNUMBER(SEARCH(B32,D32)),"YES","NO")</f>
        <v>YES</v>
      </c>
      <c r="D32" s="14" t="s">
        <v>813</v>
      </c>
    </row>
    <row r="33" spans="1:4">
      <c r="A33" s="18" t="s">
        <v>173</v>
      </c>
      <c r="B33" t="s">
        <v>441</v>
      </c>
      <c r="C33" t="str">
        <f>IF(ISNUMBER(SEARCH(B33,D33)),"YES","NO")</f>
        <v>YES</v>
      </c>
      <c r="D33" s="14" t="s">
        <v>174</v>
      </c>
    </row>
    <row r="34" spans="1:4">
      <c r="A34" s="18" t="s">
        <v>765</v>
      </c>
      <c r="B34" t="s">
        <v>434</v>
      </c>
      <c r="C34" t="str">
        <f>IF(ISNUMBER(SEARCH(B34,D34)),"YES","NO")</f>
        <v>YES</v>
      </c>
      <c r="D34" s="14" t="s">
        <v>434</v>
      </c>
    </row>
    <row r="35" spans="1:4">
      <c r="A35" s="18" t="s">
        <v>653</v>
      </c>
      <c r="B35" t="s">
        <v>1006</v>
      </c>
      <c r="C35" t="str">
        <f>IF(ISNUMBER(SEARCH(B35,D35)),"YES","NO")</f>
        <v>YES</v>
      </c>
      <c r="D35" s="14" t="s">
        <v>654</v>
      </c>
    </row>
    <row r="36" spans="1:4">
      <c r="A36" s="18" t="s">
        <v>621</v>
      </c>
      <c r="B36" t="s">
        <v>464</v>
      </c>
      <c r="C36" t="str">
        <f>IF(ISNUMBER(SEARCH(B36,D36)),"YES","NO")</f>
        <v>YES</v>
      </c>
      <c r="D36" s="14" t="s">
        <v>98</v>
      </c>
    </row>
    <row r="37" spans="1:4">
      <c r="A37" s="18" t="s">
        <v>140</v>
      </c>
      <c r="B37" t="s">
        <v>996</v>
      </c>
      <c r="C37" t="str">
        <f>IF(ISNUMBER(SEARCH(B37,D37)),"YES","NO")</f>
        <v>YES</v>
      </c>
      <c r="D37" s="14" t="s">
        <v>141</v>
      </c>
    </row>
    <row r="38" spans="1:4">
      <c r="A38" s="18" t="s">
        <v>748</v>
      </c>
      <c r="B38" t="s">
        <v>415</v>
      </c>
      <c r="C38" t="str">
        <f>IF(ISNUMBER(SEARCH(B38,D38)),"YES","NO")</f>
        <v>YES</v>
      </c>
      <c r="D38" s="14" t="s">
        <v>749</v>
      </c>
    </row>
    <row r="39" spans="1:4">
      <c r="A39" s="18" t="s">
        <v>177</v>
      </c>
      <c r="B39" t="s">
        <v>997</v>
      </c>
      <c r="C39" t="str">
        <f>IF(ISNUMBER(SEARCH(B39,D39)),"YES","NO")</f>
        <v>YES</v>
      </c>
      <c r="D39" s="14" t="s">
        <v>708</v>
      </c>
    </row>
    <row r="40" spans="1:4">
      <c r="A40" s="18" t="s">
        <v>767</v>
      </c>
      <c r="B40" t="s">
        <v>435</v>
      </c>
      <c r="C40" t="str">
        <f>IF(ISNUMBER(SEARCH(B40,D40)),"YES","NO")</f>
        <v>YES</v>
      </c>
      <c r="D40" s="14" t="s">
        <v>768</v>
      </c>
    </row>
    <row r="41" spans="1:4">
      <c r="A41" s="18" t="s">
        <v>81</v>
      </c>
      <c r="B41" t="s">
        <v>962</v>
      </c>
      <c r="C41" t="str">
        <f>IF(ISNUMBER(SEARCH(B41,D41)),"YES","NO")</f>
        <v>YES</v>
      </c>
      <c r="D41" s="14" t="s">
        <v>962</v>
      </c>
    </row>
    <row r="42" spans="1:4">
      <c r="A42" s="18" t="s">
        <v>665</v>
      </c>
      <c r="B42" t="s">
        <v>954</v>
      </c>
      <c r="C42" t="str">
        <f>IF(ISNUMBER(SEARCH(B42,D42)),"YES","NO")</f>
        <v>YES</v>
      </c>
      <c r="D42" s="14" t="s">
        <v>666</v>
      </c>
    </row>
    <row r="43" spans="1:4">
      <c r="A43" s="18" t="s">
        <v>670</v>
      </c>
      <c r="B43" t="s">
        <v>972</v>
      </c>
      <c r="C43" t="str">
        <f>IF(ISNUMBER(SEARCH(B43,D43)),"YES","NO")</f>
        <v>YES</v>
      </c>
      <c r="D43" s="14" t="s">
        <v>671</v>
      </c>
    </row>
    <row r="44" spans="1:4">
      <c r="A44" s="18" t="s">
        <v>775</v>
      </c>
      <c r="B44" t="s">
        <v>1008</v>
      </c>
      <c r="C44" t="str">
        <f>IF(ISNUMBER(SEARCH(B44,D44)),"YES","NO")</f>
        <v>YES</v>
      </c>
      <c r="D44" s="14" t="s">
        <v>776</v>
      </c>
    </row>
    <row r="45" spans="1:4">
      <c r="A45" s="18" t="s">
        <v>728</v>
      </c>
      <c r="B45" t="s">
        <v>1009</v>
      </c>
      <c r="C45" t="str">
        <f>IF(ISNUMBER(SEARCH(B45,D45)),"YES","NO")</f>
        <v>YES</v>
      </c>
      <c r="D45" s="14" t="s">
        <v>23</v>
      </c>
    </row>
    <row r="46" spans="1:4">
      <c r="A46" s="18" t="s">
        <v>132</v>
      </c>
      <c r="B46" t="s">
        <v>991</v>
      </c>
      <c r="C46" t="str">
        <f>IF(ISNUMBER(SEARCH(B46,D46)),"YES","NO")</f>
        <v>YES</v>
      </c>
      <c r="D46" s="14" t="s">
        <v>133</v>
      </c>
    </row>
    <row r="47" spans="1:4">
      <c r="A47" s="18" t="s">
        <v>715</v>
      </c>
      <c r="B47" t="s">
        <v>365</v>
      </c>
      <c r="C47" t="str">
        <f>IF(ISNUMBER(SEARCH(B47,D47)),"YES","NO")</f>
        <v>YES</v>
      </c>
      <c r="D47" s="14" t="s">
        <v>99</v>
      </c>
    </row>
    <row r="48" spans="1:4">
      <c r="A48" s="18" t="s">
        <v>789</v>
      </c>
      <c r="B48" t="s">
        <v>469</v>
      </c>
      <c r="C48" t="str">
        <f>IF(ISNUMBER(SEARCH(B48,D48)),"YES","NO")</f>
        <v>YES</v>
      </c>
      <c r="D48" s="14" t="s">
        <v>790</v>
      </c>
    </row>
    <row r="49" spans="1:4">
      <c r="A49" s="18" t="s">
        <v>760</v>
      </c>
      <c r="B49" t="s">
        <v>427</v>
      </c>
      <c r="C49" t="str">
        <f>IF(ISNUMBER(SEARCH(B49,D49)),"YES","NO")</f>
        <v>YES</v>
      </c>
      <c r="D49" s="14" t="s">
        <v>761</v>
      </c>
    </row>
    <row r="50" spans="1:4">
      <c r="A50" s="18" t="s">
        <v>673</v>
      </c>
      <c r="B50" t="s">
        <v>1010</v>
      </c>
      <c r="C50" t="str">
        <f>IF(ISNUMBER(SEARCH(B50,D50)),"YES","NO")</f>
        <v>YES</v>
      </c>
      <c r="D50" s="14" t="s">
        <v>1010</v>
      </c>
    </row>
    <row r="51" spans="1:4">
      <c r="A51" s="18" t="s">
        <v>743</v>
      </c>
      <c r="B51" t="s">
        <v>407</v>
      </c>
      <c r="C51" t="str">
        <f>IF(ISNUMBER(SEARCH(B51,D51)),"YES","NO")</f>
        <v>YES</v>
      </c>
      <c r="D51" s="14" t="s">
        <v>116</v>
      </c>
    </row>
    <row r="52" spans="1:4">
      <c r="A52" s="18" t="s">
        <v>624</v>
      </c>
      <c r="B52" t="s">
        <v>920</v>
      </c>
      <c r="C52" t="str">
        <f>IF(ISNUMBER(SEARCH(B52,D52)),"YES","NO")</f>
        <v>YES</v>
      </c>
      <c r="D52" s="14" t="s">
        <v>625</v>
      </c>
    </row>
    <row r="53" spans="1:4">
      <c r="A53" s="18" t="s">
        <v>546</v>
      </c>
      <c r="B53" t="s">
        <v>987</v>
      </c>
      <c r="C53" t="str">
        <f>IF(ISNUMBER(SEARCH(B53,D53)),"YES","NO")</f>
        <v>YES</v>
      </c>
      <c r="D53" s="14" t="s">
        <v>9</v>
      </c>
    </row>
    <row r="54" spans="1:4">
      <c r="A54" s="18" t="s">
        <v>702</v>
      </c>
      <c r="B54" t="s">
        <v>960</v>
      </c>
      <c r="C54" t="str">
        <f>IF(ISNUMBER(SEARCH(B54,D54)),"YES","NO")</f>
        <v>YES</v>
      </c>
      <c r="D54" s="14" t="s">
        <v>171</v>
      </c>
    </row>
    <row r="55" spans="1:4">
      <c r="A55" s="18" t="s">
        <v>753</v>
      </c>
      <c r="B55" t="s">
        <v>1011</v>
      </c>
      <c r="C55" t="str">
        <f>IF(ISNUMBER(SEARCH(B55,D55)),"YES","NO")</f>
        <v>YES</v>
      </c>
      <c r="D55" s="14" t="s">
        <v>754</v>
      </c>
    </row>
    <row r="56" spans="1:4">
      <c r="A56" s="18" t="s">
        <v>142</v>
      </c>
      <c r="B56" t="s">
        <v>975</v>
      </c>
      <c r="C56" t="str">
        <f>IF(ISNUMBER(SEARCH(B56,D56)),"YES","NO")</f>
        <v>YES</v>
      </c>
      <c r="D56" s="14" t="s">
        <v>143</v>
      </c>
    </row>
    <row r="57" spans="1:4">
      <c r="A57" s="18" t="s">
        <v>663</v>
      </c>
      <c r="B57" t="s">
        <v>971</v>
      </c>
      <c r="C57" t="str">
        <f>IF(ISNUMBER(SEARCH(B57,D57)),"YES","NO")</f>
        <v>YES</v>
      </c>
      <c r="D57" s="14" t="s">
        <v>664</v>
      </c>
    </row>
    <row r="58" spans="1:4">
      <c r="A58" s="18" t="s">
        <v>803</v>
      </c>
      <c r="B58" t="s">
        <v>984</v>
      </c>
      <c r="C58" t="str">
        <f>IF(ISNUMBER(SEARCH(B58,D58)),"YES","NO")</f>
        <v>YES</v>
      </c>
      <c r="D58" s="14" t="s">
        <v>804</v>
      </c>
    </row>
    <row r="59" spans="1:4">
      <c r="A59" s="18" t="s">
        <v>651</v>
      </c>
      <c r="B59" t="s">
        <v>974</v>
      </c>
      <c r="C59" t="str">
        <f>IF(ISNUMBER(SEARCH(B59,D59)),"YES","NO")</f>
        <v>YES</v>
      </c>
      <c r="D59" s="14" t="s">
        <v>148</v>
      </c>
    </row>
    <row r="60" spans="1:4">
      <c r="A60" s="18" t="s">
        <v>791</v>
      </c>
      <c r="B60" t="s">
        <v>470</v>
      </c>
      <c r="C60" t="str">
        <f>IF(ISNUMBER(SEARCH(B60,D60)),"YES","NO")</f>
        <v>YES</v>
      </c>
      <c r="D60" s="14" t="s">
        <v>792</v>
      </c>
    </row>
    <row r="61" spans="1:4">
      <c r="A61" s="18" t="s">
        <v>620</v>
      </c>
      <c r="B61" t="s">
        <v>981</v>
      </c>
      <c r="C61" t="str">
        <f>IF(ISNUMBER(SEARCH(B61,D61)),"YES","NO")</f>
        <v>YES</v>
      </c>
      <c r="D61" s="14" t="s">
        <v>96</v>
      </c>
    </row>
    <row r="62" spans="1:4">
      <c r="A62" s="18" t="s">
        <v>729</v>
      </c>
      <c r="B62" t="s">
        <v>1003</v>
      </c>
      <c r="C62" t="str">
        <f>IF(ISNUMBER(SEARCH(B62,D62)),"YES","NO")</f>
        <v>YES</v>
      </c>
      <c r="D62" s="14" t="s">
        <v>22</v>
      </c>
    </row>
    <row r="63" spans="1:4">
      <c r="A63" s="18" t="s">
        <v>558</v>
      </c>
      <c r="B63" t="s">
        <v>994</v>
      </c>
      <c r="C63" t="str">
        <f>IF(ISNUMBER(SEARCH(B63,D63)),"YES","NO")</f>
        <v>YES</v>
      </c>
      <c r="D63" s="14" t="s">
        <v>25</v>
      </c>
    </row>
    <row r="64" spans="1:4">
      <c r="A64" s="18" t="s">
        <v>637</v>
      </c>
      <c r="B64" t="s">
        <v>956</v>
      </c>
      <c r="C64" t="str">
        <f>IF(ISNUMBER(SEARCH(B64,D64)),"YES","NO")</f>
        <v>YES</v>
      </c>
      <c r="D64" s="14" t="s">
        <v>113</v>
      </c>
    </row>
    <row r="65" spans="1:4">
      <c r="A65" s="18" t="s">
        <v>755</v>
      </c>
      <c r="B65" t="s">
        <v>421</v>
      </c>
      <c r="C65" t="str">
        <f>IF(ISNUMBER(SEARCH(B65,D65)),"YES","NO")</f>
        <v>YES</v>
      </c>
      <c r="D65" s="14" t="s">
        <v>421</v>
      </c>
    </row>
    <row r="66" spans="1:4">
      <c r="A66" s="18" t="s">
        <v>793</v>
      </c>
      <c r="B66" t="s">
        <v>471</v>
      </c>
      <c r="C66" t="str">
        <f>IF(ISNUMBER(SEARCH(B66,D66)),"YES","NO")</f>
        <v>YES</v>
      </c>
      <c r="D66" s="14" t="s">
        <v>794</v>
      </c>
    </row>
    <row r="67" spans="1:4">
      <c r="A67" s="18" t="s">
        <v>647</v>
      </c>
      <c r="B67" t="s">
        <v>978</v>
      </c>
      <c r="C67" t="str">
        <f>IF(ISNUMBER(SEARCH(B67,D67)),"YES","NO")</f>
        <v>YES</v>
      </c>
      <c r="D67" s="14" t="s">
        <v>136</v>
      </c>
    </row>
    <row r="68" spans="1:4">
      <c r="A68" s="18" t="s">
        <v>166</v>
      </c>
      <c r="B68" t="s">
        <v>1012</v>
      </c>
      <c r="C68" t="str">
        <f>IF(ISNUMBER(SEARCH(B68,D68)),"YES","NO")</f>
        <v>YES</v>
      </c>
      <c r="D68" s="14" t="s">
        <v>697</v>
      </c>
    </row>
    <row r="69" spans="1:4">
      <c r="A69" s="18" t="s">
        <v>832</v>
      </c>
      <c r="B69" t="s">
        <v>524</v>
      </c>
      <c r="C69" t="str">
        <f>IF(ISNUMBER(SEARCH(B69,D69)),"YES","NO")</f>
        <v>YES</v>
      </c>
      <c r="D69" s="14" t="s">
        <v>833</v>
      </c>
    </row>
    <row r="70" spans="1:4">
      <c r="A70" s="18" t="s">
        <v>778</v>
      </c>
      <c r="B70" t="s">
        <v>958</v>
      </c>
      <c r="C70" t="str">
        <f>IF(ISNUMBER(SEARCH(B70,D70)),"YES","NO")</f>
        <v>YES</v>
      </c>
      <c r="D70" s="14" t="s">
        <v>779</v>
      </c>
    </row>
    <row r="71" spans="1:4">
      <c r="A71" s="18" t="s">
        <v>137</v>
      </c>
      <c r="B71" t="s">
        <v>976</v>
      </c>
      <c r="C71" t="str">
        <f>IF(ISNUMBER(SEARCH(B71,D71)),"YES","NO")</f>
        <v>YES</v>
      </c>
      <c r="D71" s="14" t="s">
        <v>138</v>
      </c>
    </row>
    <row r="72" spans="1:4">
      <c r="A72" s="18" t="s">
        <v>569</v>
      </c>
      <c r="B72" t="s">
        <v>964</v>
      </c>
      <c r="C72" t="str">
        <f>IF(ISNUMBER(SEARCH(B72,D72)),"YES","NO")</f>
        <v>YES</v>
      </c>
      <c r="D72" s="14" t="s">
        <v>31</v>
      </c>
    </row>
    <row r="73" spans="1:4">
      <c r="A73" s="18" t="s">
        <v>531</v>
      </c>
      <c r="B73" t="s">
        <v>854</v>
      </c>
      <c r="C73" t="str">
        <f>IF(ISNUMBER(SEARCH(B73,D73)),"YES","NO")</f>
        <v>YES</v>
      </c>
      <c r="D73" s="14" t="s">
        <v>593</v>
      </c>
    </row>
    <row r="74" spans="1:4">
      <c r="A74" s="18" t="s">
        <v>144</v>
      </c>
      <c r="B74" t="s">
        <v>992</v>
      </c>
      <c r="C74" t="str">
        <f>IF(ISNUMBER(SEARCH(B74,D74)),"YES","NO")</f>
        <v>YES</v>
      </c>
      <c r="D74" s="14" t="s">
        <v>145</v>
      </c>
    </row>
    <row r="75" spans="1:4">
      <c r="A75" s="18" t="s">
        <v>698</v>
      </c>
      <c r="B75" t="s">
        <v>969</v>
      </c>
      <c r="C75" t="str">
        <f>IF(ISNUMBER(SEARCH(B75,D75)),"YES","NO")</f>
        <v>YES</v>
      </c>
      <c r="D75" s="14" t="s">
        <v>167</v>
      </c>
    </row>
    <row r="76" spans="1:4">
      <c r="A76" s="18" t="s">
        <v>609</v>
      </c>
      <c r="B76" t="s">
        <v>1001</v>
      </c>
      <c r="C76" t="str">
        <f>IF(ISNUMBER(SEARCH(B76,D76)),"YES","NO")</f>
        <v>YES</v>
      </c>
      <c r="D76" s="14" t="s">
        <v>610</v>
      </c>
    </row>
    <row r="77" spans="1:4">
      <c r="A77" s="18" t="s">
        <v>710</v>
      </c>
      <c r="B77" t="s">
        <v>995</v>
      </c>
      <c r="C77" t="str">
        <f>IF(ISNUMBER(SEARCH(B77,D77)),"YES","NO")</f>
        <v>YES</v>
      </c>
      <c r="D77" s="14" t="s">
        <v>179</v>
      </c>
    </row>
    <row r="78" spans="1:4">
      <c r="A78" s="18" t="s">
        <v>692</v>
      </c>
      <c r="B78" t="s">
        <v>1013</v>
      </c>
      <c r="C78" t="str">
        <f>IF(ISNUMBER(SEARCH(B78,D78)),"YES","NO")</f>
        <v>YES</v>
      </c>
      <c r="D78" s="14" t="s">
        <v>693</v>
      </c>
    </row>
    <row r="79" spans="1:4">
      <c r="A79" s="18" t="s">
        <v>532</v>
      </c>
      <c r="B79" t="s">
        <v>856</v>
      </c>
      <c r="C79" t="str">
        <f>IF(ISNUMBER(SEARCH(B79,D79)),"YES","NO")</f>
        <v>YES</v>
      </c>
      <c r="D79" s="14" t="s">
        <v>586</v>
      </c>
    </row>
    <row r="80" spans="1:4">
      <c r="A80" s="18" t="s">
        <v>551</v>
      </c>
      <c r="B80" t="s">
        <v>973</v>
      </c>
      <c r="C80" t="str">
        <f>IF(ISNUMBER(SEARCH(B80,D80)),"YES","NO")</f>
        <v>YES</v>
      </c>
      <c r="D80" s="14" t="s">
        <v>21</v>
      </c>
    </row>
    <row r="81" spans="1:4">
      <c r="A81" s="18" t="s">
        <v>649</v>
      </c>
      <c r="B81" t="s">
        <v>147</v>
      </c>
      <c r="C81" t="str">
        <f>IF(ISNUMBER(SEARCH(B81,D81)),"YES","NO")</f>
        <v>YES</v>
      </c>
      <c r="D81" s="14" t="s">
        <v>650</v>
      </c>
    </row>
    <row r="82" spans="1:4">
      <c r="A82" s="18" t="s">
        <v>733</v>
      </c>
      <c r="B82" t="s">
        <v>394</v>
      </c>
      <c r="C82" t="str">
        <f>IF(ISNUMBER(SEARCH(B82,D82)),"YES","NO")</f>
        <v>YES</v>
      </c>
      <c r="D82" s="14" t="s">
        <v>734</v>
      </c>
    </row>
    <row r="83" spans="1:4">
      <c r="A83" s="18" t="s">
        <v>751</v>
      </c>
      <c r="B83" t="s">
        <v>418</v>
      </c>
      <c r="C83" t="str">
        <f>IF(ISNUMBER(SEARCH(B83,D83)),"YES","NO")</f>
        <v>YES</v>
      </c>
      <c r="D83" s="14" t="s">
        <v>418</v>
      </c>
    </row>
    <row r="84" spans="1:4">
      <c r="A84" s="18" t="s">
        <v>12</v>
      </c>
      <c r="B84" t="s">
        <v>1014</v>
      </c>
      <c r="C84" t="str">
        <f>IF(ISNUMBER(SEARCH(B84,D84)),"YES","NO")</f>
        <v>YES</v>
      </c>
      <c r="D84" s="14" t="s">
        <v>552</v>
      </c>
    </row>
    <row r="85" spans="1:4">
      <c r="A85" s="18" t="s">
        <v>165</v>
      </c>
      <c r="B85" t="s">
        <v>961</v>
      </c>
      <c r="C85" t="str">
        <f>IF(ISNUMBER(SEARCH(B85,D85)),"YES","NO")</f>
        <v>YES</v>
      </c>
      <c r="D85" s="14" t="s">
        <v>694</v>
      </c>
    </row>
    <row r="86" spans="1:4">
      <c r="A86" s="18" t="s">
        <v>644</v>
      </c>
      <c r="B86" t="s">
        <v>863</v>
      </c>
      <c r="C86" t="str">
        <f>IF(ISNUMBER(SEARCH(B86,D86)),"YES","NO")</f>
        <v>YES</v>
      </c>
      <c r="D86" s="14" t="s">
        <v>119</v>
      </c>
    </row>
    <row r="87" spans="1:4">
      <c r="A87" s="18" t="s">
        <v>380</v>
      </c>
      <c r="B87" t="s">
        <v>1015</v>
      </c>
      <c r="C87" t="str">
        <f>IF(ISNUMBER(SEARCH(B87,D87)),"YES","NO")</f>
        <v>YES</v>
      </c>
      <c r="D87" s="14" t="s">
        <v>381</v>
      </c>
    </row>
    <row r="88" spans="1:4">
      <c r="A88" s="18" t="s">
        <v>577</v>
      </c>
      <c r="B88" t="s">
        <v>993</v>
      </c>
      <c r="C88" t="str">
        <f>IF(ISNUMBER(SEARCH(B88,D88)),"YES","NO")</f>
        <v>YES</v>
      </c>
      <c r="D88" s="14" t="s">
        <v>49</v>
      </c>
    </row>
    <row r="89" spans="1:4">
      <c r="A89" s="18" t="s">
        <v>655</v>
      </c>
      <c r="B89" t="s">
        <v>985</v>
      </c>
      <c r="C89" t="str">
        <f>IF(ISNUMBER(SEARCH(B89,D89)),"YES","NO")</f>
        <v>YES</v>
      </c>
      <c r="D89" s="14" t="s">
        <v>150</v>
      </c>
    </row>
    <row r="90" spans="1:4">
      <c r="A90" s="18" t="s">
        <v>822</v>
      </c>
      <c r="B90" t="s">
        <v>518</v>
      </c>
      <c r="C90" t="str">
        <f>IF(ISNUMBER(SEARCH(B90,D90)),"YES","NO")</f>
        <v>YES</v>
      </c>
      <c r="D90" s="14" t="s">
        <v>823</v>
      </c>
    </row>
    <row r="91" spans="1:4">
      <c r="A91" s="18" t="s">
        <v>795</v>
      </c>
      <c r="B91" t="s">
        <v>472</v>
      </c>
      <c r="C91" t="str">
        <f>IF(ISNUMBER(SEARCH(B91,D91)),"YES","NO")</f>
        <v>YES</v>
      </c>
      <c r="D91" s="14" t="s">
        <v>796</v>
      </c>
    </row>
    <row r="92" spans="1:4">
      <c r="A92" s="18" t="s">
        <v>683</v>
      </c>
      <c r="B92" t="s">
        <v>963</v>
      </c>
      <c r="C92" t="str">
        <f>IF(ISNUMBER(SEARCH(B92,D92)),"YES","NO")</f>
        <v>YES</v>
      </c>
      <c r="D92" s="14" t="s">
        <v>161</v>
      </c>
    </row>
    <row r="93" spans="1:4">
      <c r="A93" s="18" t="s">
        <v>636</v>
      </c>
      <c r="B93" t="s">
        <v>957</v>
      </c>
      <c r="C93" t="str">
        <f>IF(ISNUMBER(SEARCH(B93,D93)),"YES","NO")</f>
        <v>YES</v>
      </c>
      <c r="D93" s="14" t="s">
        <v>112</v>
      </c>
    </row>
    <row r="94" spans="1:4">
      <c r="A94" s="18" t="s">
        <v>622</v>
      </c>
      <c r="B94" t="s">
        <v>365</v>
      </c>
      <c r="C94" t="str">
        <f>IF(ISNUMBER(SEARCH(B94,D94)),"YES","NO")</f>
        <v>YES</v>
      </c>
      <c r="D94" s="14" t="s">
        <v>99</v>
      </c>
    </row>
    <row r="95" spans="1:4">
      <c r="A95" s="18" t="s">
        <v>757</v>
      </c>
      <c r="B95" t="s">
        <v>982</v>
      </c>
      <c r="C95" t="str">
        <f>IF(ISNUMBER(SEARCH(B95,D95)),"YES","NO")</f>
        <v>YES</v>
      </c>
      <c r="D95" s="14" t="s">
        <v>758</v>
      </c>
    </row>
    <row r="96" spans="1:4">
      <c r="A96" s="18" t="s">
        <v>14</v>
      </c>
      <c r="B96" t="s">
        <v>1009</v>
      </c>
      <c r="C96" t="str">
        <f>IF(ISNUMBER(SEARCH(B96,D96)),"YES","NO")</f>
        <v>YES</v>
      </c>
      <c r="D96" s="14" t="s">
        <v>23</v>
      </c>
    </row>
    <row r="97" spans="1:4">
      <c r="A97" s="18" t="s">
        <v>120</v>
      </c>
      <c r="B97" t="s">
        <v>965</v>
      </c>
      <c r="C97" t="str">
        <f>IF(ISNUMBER(SEARCH(B97,D97)),"YES","NO")</f>
        <v>YES</v>
      </c>
      <c r="D97" s="14" t="s">
        <v>356</v>
      </c>
    </row>
    <row r="98" spans="1:4">
      <c r="A98" s="18" t="s">
        <v>169</v>
      </c>
      <c r="B98" t="s">
        <v>970</v>
      </c>
      <c r="C98" t="str">
        <f>IF(ISNUMBER(SEARCH(B98,D98)),"YES","NO")</f>
        <v>YES</v>
      </c>
      <c r="D98" s="14" t="s">
        <v>170</v>
      </c>
    </row>
    <row r="99" spans="1:4">
      <c r="A99" s="18" t="s">
        <v>555</v>
      </c>
      <c r="B99" t="s">
        <v>1016</v>
      </c>
      <c r="C99" t="str">
        <f>IF(ISNUMBER(SEARCH(B99,D99)),"YES","NO")</f>
        <v>YES</v>
      </c>
      <c r="D99" s="14" t="s">
        <v>556</v>
      </c>
    </row>
    <row r="100" spans="1:4">
      <c r="A100" s="18" t="s">
        <v>78</v>
      </c>
      <c r="B100" t="s">
        <v>977</v>
      </c>
      <c r="C100" t="str">
        <f>IF(ISNUMBER(SEARCH(B100,D100)),"YES","NO")</f>
        <v>YES</v>
      </c>
      <c r="D100" s="14" t="s">
        <v>79</v>
      </c>
    </row>
    <row r="101" spans="1:4">
      <c r="A101" s="18" t="s">
        <v>709</v>
      </c>
      <c r="B101" t="s">
        <v>959</v>
      </c>
      <c r="C101" t="str">
        <f>IF(ISNUMBER(SEARCH(B101,D101)),"YES","NO")</f>
        <v>YES</v>
      </c>
      <c r="D101" s="14" t="s">
        <v>178</v>
      </c>
    </row>
    <row r="102" spans="1:4">
      <c r="A102" s="18" t="s">
        <v>786</v>
      </c>
      <c r="B102" t="s">
        <v>1017</v>
      </c>
      <c r="C102" t="str">
        <f>IF(ISNUMBER(SEARCH(B102,D102)),"YES","NO")</f>
        <v>YES</v>
      </c>
      <c r="D102" s="14" t="s">
        <v>787</v>
      </c>
    </row>
    <row r="103" spans="1:4">
      <c r="A103" s="18" t="s">
        <v>661</v>
      </c>
      <c r="B103" t="s">
        <v>923</v>
      </c>
      <c r="C103" t="str">
        <f>IF(ISNUMBER(SEARCH(B103,D103)),"YES","NO")</f>
        <v>YES</v>
      </c>
      <c r="D103" s="14" t="s">
        <v>662</v>
      </c>
    </row>
    <row r="104" spans="1:4">
      <c r="A104" s="18" t="s">
        <v>719</v>
      </c>
      <c r="B104" t="s">
        <v>371</v>
      </c>
      <c r="C104" t="str">
        <f>IF(ISNUMBER(SEARCH(B104,D104)),"YES","NO")</f>
        <v>YES</v>
      </c>
      <c r="D104" s="14" t="s">
        <v>720</v>
      </c>
    </row>
    <row r="105" spans="1:4">
      <c r="A105" s="18" t="s">
        <v>687</v>
      </c>
      <c r="B105" t="s">
        <v>988</v>
      </c>
      <c r="C105" t="str">
        <f>IF(ISNUMBER(SEARCH(B105,D105)),"YES","NO")</f>
        <v>YES</v>
      </c>
      <c r="D105" s="14" t="s">
        <v>163</v>
      </c>
    </row>
    <row r="106" spans="1:4">
      <c r="A106" s="18" t="s">
        <v>560</v>
      </c>
      <c r="B106" t="s">
        <v>919</v>
      </c>
      <c r="C106" t="str">
        <f>IF(ISNUMBER(SEARCH(B106,D106)),"YES","NO")</f>
        <v>YES</v>
      </c>
      <c r="D106" s="14" t="s">
        <v>27</v>
      </c>
    </row>
    <row r="107" spans="1:4">
      <c r="A107" s="18" t="s">
        <v>602</v>
      </c>
      <c r="B107" t="s">
        <v>967</v>
      </c>
      <c r="C107" t="str">
        <f>IF(ISNUMBER(SEARCH(B107,D107)),"YES","NO")</f>
        <v>YES</v>
      </c>
      <c r="D107" s="14" t="s">
        <v>86</v>
      </c>
    </row>
    <row r="108" spans="1:4">
      <c r="A108" s="18" t="s">
        <v>802</v>
      </c>
      <c r="B108" t="s">
        <v>961</v>
      </c>
      <c r="C108" t="str">
        <f>IF(ISNUMBER(SEARCH(B108,D108)),"YES","NO")</f>
        <v>YES</v>
      </c>
      <c r="D108" s="14" t="s">
        <v>694</v>
      </c>
    </row>
  </sheetData>
  <autoFilter ref="A1:D1" xr:uid="{21F388E4-4F10-4AB5-AFB2-6251DD9282F8}"/>
  <phoneticPr fontId="1" type="noConversion"/>
  <conditionalFormatting sqref="C1:C1048416">
    <cfRule type="containsText" dxfId="0" priority="1" operator="containsText" text="NO">
      <formula>NOT(ISERROR(SEARCH("NO",C1)))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ASUS VivoBook</cp:lastModifiedBy>
  <dcterms:created xsi:type="dcterms:W3CDTF">2021-11-29T08:35:34Z</dcterms:created>
  <dcterms:modified xsi:type="dcterms:W3CDTF">2021-12-03T22:15:43Z</dcterms:modified>
</cp:coreProperties>
</file>